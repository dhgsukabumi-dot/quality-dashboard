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YSON\Desktop\WEB APP\검사 불량 리포트\"/>
    </mc:Choice>
  </mc:AlternateContent>
  <xr:revisionPtr revIDLastSave="0" documentId="8_{24A01B6D-7B72-4B48-9ECF-A8636E39803B}" xr6:coauthVersionLast="47" xr6:coauthVersionMax="47" xr10:uidLastSave="{00000000-0000-0000-0000-000000000000}"/>
  <bookViews>
    <workbookView xWindow="34620" yWindow="3540" windowWidth="21600" windowHeight="11235" xr2:uid="{5D36429D-D2D7-4D88-BD5B-F7714845A1C1}"/>
  </bookViews>
  <sheets>
    <sheet name="SEWING" sheetId="2" r:id="rId1"/>
    <sheet name="FINISHING" sheetId="1" r:id="rId2"/>
  </sheets>
  <definedNames>
    <definedName name="_xlnm._FilterDatabase" localSheetId="1" hidden="1">FINISHING!$A$5:$AK$920</definedName>
    <definedName name="_xlnm._FilterDatabase" localSheetId="0" hidden="1">SEWING!$A$5:$AF$700</definedName>
    <definedName name="_xlnm.Print_Area" localSheetId="1">FINISHING!$A$1:$AF$5</definedName>
    <definedName name="_xlnm.Print_Area" localSheetId="0">SEWING!$A$1:$AF$700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2" l="1"/>
  <c r="AB6" i="2"/>
  <c r="AD6" i="2"/>
  <c r="AC6" i="2" s="1"/>
  <c r="AE6" i="2"/>
  <c r="AB7" i="2"/>
  <c r="AD7" i="2"/>
  <c r="AC7" i="2" s="1"/>
  <c r="AE7" i="2"/>
  <c r="V8" i="2"/>
  <c r="AB8" i="2"/>
  <c r="AD8" i="2"/>
  <c r="AC8" i="2" s="1"/>
  <c r="AE8" i="2"/>
  <c r="V9" i="2"/>
  <c r="AB9" i="2"/>
  <c r="AD9" i="2"/>
  <c r="AC9" i="2" s="1"/>
  <c r="AE9" i="2"/>
  <c r="AB10" i="2"/>
  <c r="AD10" i="2"/>
  <c r="AC10" i="2" s="1"/>
  <c r="AE10" i="2"/>
  <c r="V11" i="2"/>
  <c r="AB11" i="2"/>
  <c r="AD11" i="2"/>
  <c r="AC11" i="2" s="1"/>
  <c r="AE11" i="2"/>
  <c r="V12" i="2"/>
  <c r="AB12" i="2"/>
  <c r="AD12" i="2"/>
  <c r="AC12" i="2" s="1"/>
  <c r="AE12" i="2"/>
  <c r="AB13" i="2"/>
  <c r="AD13" i="2"/>
  <c r="AC13" i="2" s="1"/>
  <c r="AE13" i="2"/>
  <c r="E14" i="2"/>
  <c r="F14" i="2"/>
  <c r="G14" i="2"/>
  <c r="H14" i="2"/>
  <c r="I14" i="2"/>
  <c r="J14" i="2"/>
  <c r="M14" i="2"/>
  <c r="N14" i="2"/>
  <c r="O14" i="2"/>
  <c r="P14" i="2"/>
  <c r="T14" i="2"/>
  <c r="V14" i="2"/>
  <c r="Y14" i="2"/>
  <c r="AB14" i="2"/>
  <c r="AD14" i="2"/>
  <c r="AC14" i="2" s="1"/>
  <c r="AE14" i="2"/>
  <c r="V15" i="2"/>
  <c r="AB15" i="2"/>
  <c r="AD15" i="2"/>
  <c r="AC15" i="2" s="1"/>
  <c r="AE15" i="2"/>
  <c r="V16" i="2"/>
  <c r="AB16" i="2"/>
  <c r="AD16" i="2"/>
  <c r="AC16" i="2" s="1"/>
  <c r="AE16" i="2"/>
  <c r="V17" i="2"/>
  <c r="AB17" i="2"/>
  <c r="AD17" i="2"/>
  <c r="AC17" i="2" s="1"/>
  <c r="AE17" i="2"/>
  <c r="V18" i="2"/>
  <c r="AA18" i="2"/>
  <c r="AB18" i="2"/>
  <c r="AD18" i="2"/>
  <c r="AC18" i="2" s="1"/>
  <c r="AE18" i="2"/>
  <c r="AB19" i="2"/>
  <c r="AD19" i="2"/>
  <c r="AC19" i="2" s="1"/>
  <c r="AE19" i="2"/>
  <c r="AA20" i="2"/>
  <c r="AB20" i="2"/>
  <c r="AD20" i="2"/>
  <c r="AC20" i="2" s="1"/>
  <c r="AE20" i="2"/>
  <c r="AB21" i="2"/>
  <c r="AD21" i="2"/>
  <c r="AC21" i="2" s="1"/>
  <c r="AE21" i="2"/>
  <c r="V22" i="2"/>
  <c r="AB22" i="2"/>
  <c r="AD22" i="2"/>
  <c r="AC22" i="2" s="1"/>
  <c r="AE22" i="2"/>
  <c r="AB23" i="2"/>
  <c r="AD23" i="2"/>
  <c r="AC23" i="2" s="1"/>
  <c r="AE23" i="2"/>
  <c r="AB24" i="2"/>
  <c r="AD24" i="2"/>
  <c r="AC24" i="2" s="1"/>
  <c r="AE24" i="2"/>
  <c r="V25" i="2"/>
  <c r="AB25" i="2"/>
  <c r="AD25" i="2"/>
  <c r="AC25" i="2" s="1"/>
  <c r="AE25" i="2"/>
  <c r="AB26" i="2"/>
  <c r="AD26" i="2"/>
  <c r="AC26" i="2" s="1"/>
  <c r="AE26" i="2"/>
  <c r="V27" i="2"/>
  <c r="AB27" i="2"/>
  <c r="AD27" i="2"/>
  <c r="AC27" i="2" s="1"/>
  <c r="AE27" i="2"/>
  <c r="V28" i="2"/>
  <c r="AB28" i="2"/>
  <c r="AD28" i="2"/>
  <c r="AC28" i="2" s="1"/>
  <c r="AE28" i="2"/>
  <c r="E29" i="2"/>
  <c r="F29" i="2"/>
  <c r="H29" i="2"/>
  <c r="M29" i="2"/>
  <c r="V29" i="2"/>
  <c r="AB29" i="2"/>
  <c r="AD29" i="2"/>
  <c r="AC29" i="2" s="1"/>
  <c r="AE29" i="2"/>
  <c r="V30" i="2"/>
  <c r="AB30" i="2"/>
  <c r="AD30" i="2"/>
  <c r="AC30" i="2" s="1"/>
  <c r="AE30" i="2"/>
  <c r="S31" i="2"/>
  <c r="AB31" i="2"/>
  <c r="AD31" i="2"/>
  <c r="AC31" i="2" s="1"/>
  <c r="AE31" i="2"/>
  <c r="V32" i="2"/>
  <c r="AB32" i="2"/>
  <c r="AD32" i="2"/>
  <c r="AC32" i="2" s="1"/>
  <c r="AE32" i="2"/>
  <c r="V33" i="2"/>
  <c r="AB33" i="2"/>
  <c r="AD33" i="2"/>
  <c r="AC33" i="2" s="1"/>
  <c r="AE33" i="2"/>
  <c r="E34" i="2"/>
  <c r="F34" i="2"/>
  <c r="G34" i="2"/>
  <c r="H34" i="2"/>
  <c r="K34" i="2"/>
  <c r="M34" i="2"/>
  <c r="P34" i="2"/>
  <c r="Q34" i="2"/>
  <c r="R34" i="2"/>
  <c r="T34" i="2"/>
  <c r="V34" i="2"/>
  <c r="AB34" i="2"/>
  <c r="AD34" i="2"/>
  <c r="AC34" i="2" s="1"/>
  <c r="AE34" i="2"/>
  <c r="E35" i="2"/>
  <c r="F35" i="2"/>
  <c r="G35" i="2"/>
  <c r="H35" i="2"/>
  <c r="J35" i="2"/>
  <c r="K35" i="2"/>
  <c r="M35" i="2"/>
  <c r="P35" i="2"/>
  <c r="T35" i="2"/>
  <c r="V35" i="2"/>
  <c r="AB35" i="2"/>
  <c r="AD35" i="2"/>
  <c r="AC35" i="2" s="1"/>
  <c r="AE35" i="2"/>
  <c r="V36" i="2"/>
  <c r="AB36" i="2"/>
  <c r="AD36" i="2"/>
  <c r="AC36" i="2" s="1"/>
  <c r="AE36" i="2"/>
  <c r="AB37" i="2"/>
  <c r="AD37" i="2"/>
  <c r="AC37" i="2" s="1"/>
  <c r="AE37" i="2"/>
  <c r="V38" i="2"/>
  <c r="AB38" i="2"/>
  <c r="AD38" i="2"/>
  <c r="AC38" i="2" s="1"/>
  <c r="AE38" i="2"/>
  <c r="AB39" i="2"/>
  <c r="AD39" i="2"/>
  <c r="AC39" i="2" s="1"/>
  <c r="AE39" i="2"/>
  <c r="E40" i="2"/>
  <c r="F40" i="2"/>
  <c r="G40" i="2"/>
  <c r="H40" i="2"/>
  <c r="I40" i="2"/>
  <c r="M40" i="2"/>
  <c r="O40" i="2"/>
  <c r="P40" i="2"/>
  <c r="T40" i="2"/>
  <c r="V40" i="2"/>
  <c r="AB40" i="2"/>
  <c r="AD40" i="2"/>
  <c r="AC40" i="2" s="1"/>
  <c r="AE40" i="2"/>
  <c r="V41" i="2"/>
  <c r="AB41" i="2"/>
  <c r="AD41" i="2"/>
  <c r="AC41" i="2" s="1"/>
  <c r="AE41" i="2"/>
  <c r="V42" i="2"/>
  <c r="AB42" i="2"/>
  <c r="AD42" i="2"/>
  <c r="AC42" i="2" s="1"/>
  <c r="AE42" i="2"/>
  <c r="V43" i="2"/>
  <c r="AB43" i="2"/>
  <c r="AD43" i="2"/>
  <c r="AC43" i="2" s="1"/>
  <c r="AE43" i="2"/>
  <c r="V44" i="2"/>
  <c r="AB44" i="2"/>
  <c r="AD44" i="2"/>
  <c r="AC44" i="2" s="1"/>
  <c r="AE44" i="2"/>
  <c r="E45" i="2"/>
  <c r="F45" i="2"/>
  <c r="G45" i="2"/>
  <c r="M45" i="2"/>
  <c r="O45" i="2"/>
  <c r="P45" i="2"/>
  <c r="T45" i="2"/>
  <c r="V45" i="2"/>
  <c r="AA45" i="2"/>
  <c r="AB45" i="2"/>
  <c r="AD45" i="2"/>
  <c r="AC45" i="2" s="1"/>
  <c r="AE45" i="2"/>
  <c r="AB46" i="2"/>
  <c r="AD46" i="2"/>
  <c r="AC46" i="2" s="1"/>
  <c r="AE46" i="2"/>
  <c r="V47" i="2"/>
  <c r="AB47" i="2"/>
  <c r="AD47" i="2"/>
  <c r="AC47" i="2" s="1"/>
  <c r="AE47" i="2"/>
  <c r="V48" i="2"/>
  <c r="AB48" i="2"/>
  <c r="AD48" i="2"/>
  <c r="AC48" i="2" s="1"/>
  <c r="AE48" i="2"/>
  <c r="E49" i="2"/>
  <c r="F49" i="2"/>
  <c r="G49" i="2"/>
  <c r="H49" i="2"/>
  <c r="K49" i="2"/>
  <c r="M49" i="2"/>
  <c r="O49" i="2"/>
  <c r="S49" i="2"/>
  <c r="T49" i="2"/>
  <c r="V49" i="2"/>
  <c r="AB49" i="2"/>
  <c r="AD49" i="2"/>
  <c r="AC49" i="2" s="1"/>
  <c r="AE49" i="2"/>
  <c r="E50" i="2"/>
  <c r="F50" i="2"/>
  <c r="G50" i="2"/>
  <c r="H50" i="2"/>
  <c r="M50" i="2"/>
  <c r="T50" i="2"/>
  <c r="V50" i="2"/>
  <c r="AB50" i="2"/>
  <c r="AD50" i="2"/>
  <c r="AC50" i="2" s="1"/>
  <c r="AE50" i="2"/>
  <c r="AB51" i="2"/>
  <c r="AD51" i="2"/>
  <c r="AC51" i="2" s="1"/>
  <c r="AE51" i="2"/>
  <c r="AB52" i="2"/>
  <c r="AD52" i="2"/>
  <c r="AC52" i="2" s="1"/>
  <c r="AE52" i="2"/>
  <c r="AB53" i="2"/>
  <c r="AD53" i="2"/>
  <c r="AC53" i="2" s="1"/>
  <c r="AE53" i="2"/>
  <c r="V54" i="2"/>
  <c r="AB54" i="2"/>
  <c r="AD54" i="2"/>
  <c r="AC54" i="2" s="1"/>
  <c r="AE54" i="2"/>
  <c r="E55" i="2"/>
  <c r="M55" i="2"/>
  <c r="P55" i="2"/>
  <c r="V55" i="2"/>
  <c r="AB55" i="2"/>
  <c r="AD55" i="2"/>
  <c r="AC55" i="2" s="1"/>
  <c r="AE55" i="2"/>
  <c r="V56" i="2"/>
  <c r="AB56" i="2"/>
  <c r="AD56" i="2"/>
  <c r="AC56" i="2" s="1"/>
  <c r="AE56" i="2"/>
  <c r="V57" i="2"/>
  <c r="AB57" i="2"/>
  <c r="AC57" i="2"/>
  <c r="AD57" i="2"/>
  <c r="AE57" i="2"/>
  <c r="O58" i="2"/>
  <c r="S58" i="2"/>
  <c r="V58" i="2"/>
  <c r="AB58" i="2"/>
  <c r="AD58" i="2"/>
  <c r="AC58" i="2" s="1"/>
  <c r="AE58" i="2"/>
  <c r="F59" i="2"/>
  <c r="G59" i="2"/>
  <c r="H59" i="2"/>
  <c r="M59" i="2"/>
  <c r="P59" i="2"/>
  <c r="V59" i="2"/>
  <c r="AB59" i="2"/>
  <c r="AE59" i="2" s="1"/>
  <c r="AD59" i="2"/>
  <c r="AC59" i="2" s="1"/>
  <c r="E60" i="2"/>
  <c r="F60" i="2"/>
  <c r="J60" i="2"/>
  <c r="M60" i="2"/>
  <c r="P60" i="2"/>
  <c r="T60" i="2"/>
  <c r="V60" i="2"/>
  <c r="AB60" i="2"/>
  <c r="AD60" i="2"/>
  <c r="AC60" i="2" s="1"/>
  <c r="AE60" i="2"/>
  <c r="E61" i="2"/>
  <c r="F61" i="2"/>
  <c r="AA61" i="2"/>
  <c r="AB61" i="2"/>
  <c r="AD61" i="2"/>
  <c r="AC61" i="2" s="1"/>
  <c r="AE61" i="2"/>
  <c r="V62" i="2"/>
  <c r="AB62" i="2"/>
  <c r="AD62" i="2"/>
  <c r="AC62" i="2" s="1"/>
  <c r="AE62" i="2"/>
  <c r="E63" i="2"/>
  <c r="L63" i="2"/>
  <c r="M63" i="2"/>
  <c r="N63" i="2"/>
  <c r="P63" i="2"/>
  <c r="R63" i="2"/>
  <c r="V63" i="2"/>
  <c r="AB63" i="2"/>
  <c r="AE63" i="2" s="1"/>
  <c r="AD63" i="2"/>
  <c r="AC63" i="2" s="1"/>
  <c r="E64" i="2"/>
  <c r="F64" i="2"/>
  <c r="G64" i="2"/>
  <c r="H64" i="2"/>
  <c r="I64" i="2"/>
  <c r="M64" i="2"/>
  <c r="N64" i="2"/>
  <c r="P64" i="2"/>
  <c r="R64" i="2"/>
  <c r="V64" i="2"/>
  <c r="AB64" i="2"/>
  <c r="AE64" i="2" s="1"/>
  <c r="AD64" i="2"/>
  <c r="AC64" i="2" s="1"/>
  <c r="V65" i="2"/>
  <c r="AB65" i="2"/>
  <c r="AD65" i="2"/>
  <c r="AC65" i="2" s="1"/>
  <c r="AE65" i="2"/>
  <c r="V66" i="2"/>
  <c r="AB66" i="2"/>
  <c r="AD66" i="2"/>
  <c r="AC66" i="2" s="1"/>
  <c r="AE66" i="2"/>
  <c r="E67" i="2"/>
  <c r="F67" i="2"/>
  <c r="G67" i="2"/>
  <c r="H67" i="2"/>
  <c r="M67" i="2"/>
  <c r="O67" i="2"/>
  <c r="P67" i="2"/>
  <c r="Q67" i="2"/>
  <c r="T67" i="2"/>
  <c r="V67" i="2"/>
  <c r="AB67" i="2"/>
  <c r="AE67" i="2" s="1"/>
  <c r="AD67" i="2"/>
  <c r="AC67" i="2" s="1"/>
  <c r="V68" i="2"/>
  <c r="AB68" i="2"/>
  <c r="AE68" i="2" s="1"/>
  <c r="AD68" i="2"/>
  <c r="AC68" i="2" s="1"/>
  <c r="AB69" i="2"/>
  <c r="AD69" i="2"/>
  <c r="AC69" i="2" s="1"/>
  <c r="AE69" i="2"/>
  <c r="V70" i="2"/>
  <c r="AB70" i="2"/>
  <c r="AD70" i="2"/>
  <c r="AC70" i="2" s="1"/>
  <c r="AE70" i="2"/>
  <c r="V71" i="2"/>
  <c r="AB71" i="2"/>
  <c r="AD71" i="2"/>
  <c r="AC71" i="2" s="1"/>
  <c r="AE71" i="2"/>
  <c r="E72" i="2"/>
  <c r="F72" i="2"/>
  <c r="G72" i="2"/>
  <c r="M72" i="2"/>
  <c r="P72" i="2"/>
  <c r="V72" i="2"/>
  <c r="AA72" i="2"/>
  <c r="AB72" i="2"/>
  <c r="AE72" i="2" s="1"/>
  <c r="AD72" i="2"/>
  <c r="AC72" i="2" s="1"/>
  <c r="F73" i="2"/>
  <c r="K73" i="2"/>
  <c r="M73" i="2"/>
  <c r="P73" i="2"/>
  <c r="T73" i="2"/>
  <c r="V73" i="2"/>
  <c r="AB73" i="2"/>
  <c r="AE73" i="2" s="1"/>
  <c r="AD73" i="2"/>
  <c r="AC73" i="2" s="1"/>
  <c r="V74" i="2"/>
  <c r="AA74" i="2"/>
  <c r="AB74" i="2"/>
  <c r="AD74" i="2"/>
  <c r="AC74" i="2" s="1"/>
  <c r="AE74" i="2"/>
  <c r="E75" i="2"/>
  <c r="G75" i="2"/>
  <c r="I75" i="2"/>
  <c r="J75" i="2"/>
  <c r="M75" i="2"/>
  <c r="P75" i="2"/>
  <c r="V75" i="2"/>
  <c r="AB75" i="2"/>
  <c r="AD75" i="2"/>
  <c r="AC75" i="2" s="1"/>
  <c r="AE75" i="2"/>
  <c r="V76" i="2"/>
  <c r="AB76" i="2"/>
  <c r="AE76" i="2" s="1"/>
  <c r="AD76" i="2"/>
  <c r="AC76" i="2" s="1"/>
  <c r="AB77" i="2"/>
  <c r="AD77" i="2"/>
  <c r="AC77" i="2" s="1"/>
  <c r="AE77" i="2"/>
  <c r="AB78" i="2"/>
  <c r="AD78" i="2"/>
  <c r="AC78" i="2" s="1"/>
  <c r="AE78" i="2"/>
  <c r="E79" i="2"/>
  <c r="H79" i="2"/>
  <c r="I79" i="2"/>
  <c r="J79" i="2"/>
  <c r="K79" i="2"/>
  <c r="M79" i="2"/>
  <c r="N79" i="2"/>
  <c r="O79" i="2"/>
  <c r="P79" i="2"/>
  <c r="Q79" i="2"/>
  <c r="V79" i="2"/>
  <c r="AB79" i="2"/>
  <c r="AD79" i="2"/>
  <c r="AC79" i="2" s="1"/>
  <c r="AE79" i="2"/>
  <c r="V80" i="2"/>
  <c r="AB80" i="2"/>
  <c r="AD80" i="2"/>
  <c r="AC80" i="2" s="1"/>
  <c r="AE80" i="2"/>
  <c r="V81" i="2"/>
  <c r="AA81" i="2"/>
  <c r="AB81" i="2"/>
  <c r="AE81" i="2" s="1"/>
  <c r="AD81" i="2"/>
  <c r="AC81" i="2" s="1"/>
  <c r="E82" i="2"/>
  <c r="AB82" i="2" s="1"/>
  <c r="AE82" i="2" s="1"/>
  <c r="L82" i="2"/>
  <c r="M82" i="2"/>
  <c r="P82" i="2"/>
  <c r="V82" i="2"/>
  <c r="AD82" i="2"/>
  <c r="AC82" i="2" s="1"/>
  <c r="K83" i="2"/>
  <c r="V83" i="2"/>
  <c r="AB83" i="2"/>
  <c r="AD83" i="2"/>
  <c r="AC83" i="2" s="1"/>
  <c r="AE83" i="2"/>
  <c r="V84" i="2"/>
  <c r="AB84" i="2"/>
  <c r="AD84" i="2"/>
  <c r="AC84" i="2" s="1"/>
  <c r="AE84" i="2"/>
  <c r="V85" i="2"/>
  <c r="AB85" i="2"/>
  <c r="AD85" i="2"/>
  <c r="AC85" i="2" s="1"/>
  <c r="AE85" i="2"/>
  <c r="V86" i="2"/>
  <c r="AB86" i="2"/>
  <c r="AD86" i="2"/>
  <c r="AC86" i="2" s="1"/>
  <c r="AE86" i="2"/>
  <c r="V87" i="2"/>
  <c r="AB87" i="2"/>
  <c r="AD87" i="2"/>
  <c r="AC87" i="2" s="1"/>
  <c r="AE87" i="2"/>
  <c r="V88" i="2"/>
  <c r="AB88" i="2"/>
  <c r="AD88" i="2"/>
  <c r="AC88" i="2" s="1"/>
  <c r="AE88" i="2"/>
  <c r="V89" i="2"/>
  <c r="AB89" i="2"/>
  <c r="AD89" i="2"/>
  <c r="AC89" i="2" s="1"/>
  <c r="AE89" i="2"/>
  <c r="V90" i="2"/>
  <c r="AB90" i="2"/>
  <c r="AD90" i="2"/>
  <c r="AC90" i="2" s="1"/>
  <c r="AE90" i="2"/>
  <c r="AB91" i="2"/>
  <c r="AD91" i="2"/>
  <c r="AC91" i="2" s="1"/>
  <c r="AE91" i="2"/>
  <c r="V92" i="2"/>
  <c r="AB92" i="2"/>
  <c r="AD92" i="2"/>
  <c r="AC92" i="2" s="1"/>
  <c r="AE92" i="2"/>
  <c r="AB93" i="2"/>
  <c r="AD93" i="2"/>
  <c r="AC93" i="2" s="1"/>
  <c r="AE93" i="2"/>
  <c r="AB94" i="2"/>
  <c r="AD94" i="2"/>
  <c r="AC94" i="2" s="1"/>
  <c r="AE94" i="2"/>
  <c r="V95" i="2"/>
  <c r="AB95" i="2"/>
  <c r="AD95" i="2"/>
  <c r="AC95" i="2" s="1"/>
  <c r="AE95" i="2"/>
  <c r="E96" i="2"/>
  <c r="F96" i="2"/>
  <c r="G96" i="2"/>
  <c r="J96" i="2"/>
  <c r="L96" i="2"/>
  <c r="M96" i="2"/>
  <c r="P96" i="2"/>
  <c r="V96" i="2"/>
  <c r="AB96" i="2"/>
  <c r="AD96" i="2"/>
  <c r="AC96" i="2" s="1"/>
  <c r="AE96" i="2"/>
  <c r="V97" i="2"/>
  <c r="AB97" i="2"/>
  <c r="AD97" i="2"/>
  <c r="AC97" i="2" s="1"/>
  <c r="AE97" i="2"/>
  <c r="V98" i="2"/>
  <c r="AB98" i="2"/>
  <c r="AD98" i="2"/>
  <c r="AC98" i="2" s="1"/>
  <c r="AE98" i="2"/>
  <c r="E99" i="2"/>
  <c r="F99" i="2"/>
  <c r="G99" i="2"/>
  <c r="M99" i="2"/>
  <c r="P99" i="2"/>
  <c r="T99" i="2"/>
  <c r="V99" i="2"/>
  <c r="AA99" i="2"/>
  <c r="AB99" i="2"/>
  <c r="AD99" i="2"/>
  <c r="AC99" i="2" s="1"/>
  <c r="AE99" i="2"/>
  <c r="V100" i="2"/>
  <c r="AB100" i="2"/>
  <c r="AD100" i="2"/>
  <c r="AC100" i="2" s="1"/>
  <c r="AE100" i="2"/>
  <c r="V101" i="2"/>
  <c r="AB101" i="2"/>
  <c r="AD101" i="2"/>
  <c r="AC101" i="2" s="1"/>
  <c r="AE101" i="2"/>
  <c r="E102" i="2"/>
  <c r="AB102" i="2"/>
  <c r="AD102" i="2"/>
  <c r="AC102" i="2" s="1"/>
  <c r="AE102" i="2"/>
  <c r="E103" i="2"/>
  <c r="F103" i="2"/>
  <c r="H103" i="2"/>
  <c r="M103" i="2"/>
  <c r="O103" i="2"/>
  <c r="S103" i="2"/>
  <c r="T103" i="2"/>
  <c r="V103" i="2"/>
  <c r="AB103" i="2"/>
  <c r="AD103" i="2"/>
  <c r="AC103" i="2" s="1"/>
  <c r="AE103" i="2"/>
  <c r="AB104" i="2"/>
  <c r="AD104" i="2"/>
  <c r="AC104" i="2" s="1"/>
  <c r="AE104" i="2"/>
  <c r="AB105" i="2"/>
  <c r="AD105" i="2"/>
  <c r="AC105" i="2" s="1"/>
  <c r="AE105" i="2"/>
  <c r="AB106" i="2"/>
  <c r="AD106" i="2"/>
  <c r="AC106" i="2" s="1"/>
  <c r="AE106" i="2"/>
  <c r="AB107" i="2"/>
  <c r="AD107" i="2"/>
  <c r="AC107" i="2" s="1"/>
  <c r="AE107" i="2"/>
  <c r="V108" i="2"/>
  <c r="AB108" i="2"/>
  <c r="AD108" i="2"/>
  <c r="AC108" i="2" s="1"/>
  <c r="AE108" i="2"/>
  <c r="E109" i="2"/>
  <c r="V109" i="2"/>
  <c r="AB109" i="2"/>
  <c r="AD109" i="2"/>
  <c r="AC109" i="2" s="1"/>
  <c r="AE109" i="2"/>
  <c r="K110" i="2"/>
  <c r="V110" i="2"/>
  <c r="AB110" i="2"/>
  <c r="AD110" i="2"/>
  <c r="AC110" i="2" s="1"/>
  <c r="AE110" i="2"/>
  <c r="E111" i="2"/>
  <c r="F111" i="2"/>
  <c r="G111" i="2"/>
  <c r="H111" i="2"/>
  <c r="M111" i="2"/>
  <c r="T111" i="2"/>
  <c r="V111" i="2"/>
  <c r="AB111" i="2"/>
  <c r="AD111" i="2"/>
  <c r="AC111" i="2" s="1"/>
  <c r="AE111" i="2"/>
  <c r="V112" i="2"/>
  <c r="AB112" i="2"/>
  <c r="AD112" i="2"/>
  <c r="AC112" i="2" s="1"/>
  <c r="AE112" i="2"/>
  <c r="F113" i="2"/>
  <c r="G113" i="2"/>
  <c r="H113" i="2"/>
  <c r="I113" i="2"/>
  <c r="M113" i="2"/>
  <c r="P113" i="2"/>
  <c r="V113" i="2"/>
  <c r="AB113" i="2"/>
  <c r="AD113" i="2"/>
  <c r="AC113" i="2" s="1"/>
  <c r="AE113" i="2"/>
  <c r="AB114" i="2"/>
  <c r="AD114" i="2"/>
  <c r="AC114" i="2" s="1"/>
  <c r="AE114" i="2"/>
  <c r="AB115" i="2"/>
  <c r="AD115" i="2"/>
  <c r="AC115" i="2" s="1"/>
  <c r="AE115" i="2"/>
  <c r="V116" i="2"/>
  <c r="AB116" i="2"/>
  <c r="AD116" i="2"/>
  <c r="AC116" i="2" s="1"/>
  <c r="AE116" i="2"/>
  <c r="V117" i="2"/>
  <c r="AB117" i="2"/>
  <c r="AD117" i="2"/>
  <c r="AC117" i="2" s="1"/>
  <c r="AE117" i="2"/>
  <c r="AB118" i="2"/>
  <c r="AD118" i="2"/>
  <c r="AC118" i="2" s="1"/>
  <c r="AE118" i="2"/>
  <c r="V119" i="2"/>
  <c r="AA119" i="2"/>
  <c r="AB119" i="2"/>
  <c r="AD119" i="2"/>
  <c r="AC119" i="2" s="1"/>
  <c r="AE119" i="2"/>
  <c r="AB120" i="2"/>
  <c r="AD120" i="2"/>
  <c r="AC120" i="2" s="1"/>
  <c r="AE120" i="2"/>
  <c r="AB121" i="2"/>
  <c r="AD121" i="2"/>
  <c r="AC121" i="2" s="1"/>
  <c r="AE121" i="2"/>
  <c r="V122" i="2"/>
  <c r="AB122" i="2"/>
  <c r="AD122" i="2"/>
  <c r="AC122" i="2" s="1"/>
  <c r="AE122" i="2"/>
  <c r="V123" i="2"/>
  <c r="AB123" i="2"/>
  <c r="AD123" i="2"/>
  <c r="AC123" i="2" s="1"/>
  <c r="AE123" i="2"/>
  <c r="V124" i="2"/>
  <c r="AB124" i="2"/>
  <c r="AD124" i="2"/>
  <c r="AC124" i="2" s="1"/>
  <c r="AE124" i="2"/>
  <c r="V125" i="2"/>
  <c r="AB125" i="2"/>
  <c r="AD125" i="2"/>
  <c r="AC125" i="2" s="1"/>
  <c r="AE125" i="2"/>
  <c r="E126" i="2"/>
  <c r="F126" i="2"/>
  <c r="G126" i="2"/>
  <c r="L126" i="2"/>
  <c r="M126" i="2"/>
  <c r="O126" i="2"/>
  <c r="P126" i="2"/>
  <c r="V126" i="2"/>
  <c r="AA126" i="2"/>
  <c r="AB126" i="2"/>
  <c r="AD126" i="2"/>
  <c r="AC126" i="2" s="1"/>
  <c r="AE126" i="2"/>
  <c r="V127" i="2"/>
  <c r="AB127" i="2"/>
  <c r="AD127" i="2"/>
  <c r="AC127" i="2" s="1"/>
  <c r="AE127" i="2"/>
  <c r="E128" i="2"/>
  <c r="F128" i="2"/>
  <c r="G128" i="2"/>
  <c r="H128" i="2"/>
  <c r="K128" i="2"/>
  <c r="M128" i="2"/>
  <c r="P128" i="2"/>
  <c r="T128" i="2"/>
  <c r="V128" i="2"/>
  <c r="AA128" i="2"/>
  <c r="AB128" i="2"/>
  <c r="AD128" i="2"/>
  <c r="AC128" i="2" s="1"/>
  <c r="AE128" i="2"/>
  <c r="AB129" i="2"/>
  <c r="AD129" i="2"/>
  <c r="AC129" i="2" s="1"/>
  <c r="AE129" i="2"/>
  <c r="V130" i="2"/>
  <c r="AB130" i="2"/>
  <c r="AD130" i="2"/>
  <c r="AC130" i="2" s="1"/>
  <c r="AE130" i="2"/>
  <c r="AB131" i="2"/>
  <c r="AD131" i="2"/>
  <c r="AC131" i="2" s="1"/>
  <c r="AE131" i="2"/>
  <c r="AB132" i="2"/>
  <c r="AD132" i="2"/>
  <c r="AC132" i="2" s="1"/>
  <c r="AE132" i="2"/>
  <c r="AB133" i="2"/>
  <c r="AD133" i="2"/>
  <c r="AC133" i="2" s="1"/>
  <c r="AE133" i="2"/>
  <c r="V134" i="2"/>
  <c r="AB134" i="2"/>
  <c r="AD134" i="2"/>
  <c r="AC134" i="2" s="1"/>
  <c r="AE134" i="2"/>
  <c r="V135" i="2"/>
  <c r="AB135" i="2"/>
  <c r="AD135" i="2"/>
  <c r="AC135" i="2" s="1"/>
  <c r="AE135" i="2"/>
  <c r="V136" i="2"/>
  <c r="AB136" i="2"/>
  <c r="AD136" i="2"/>
  <c r="AC136" i="2" s="1"/>
  <c r="AE136" i="2"/>
  <c r="V137" i="2"/>
  <c r="AB137" i="2"/>
  <c r="AD137" i="2"/>
  <c r="AC137" i="2" s="1"/>
  <c r="AE137" i="2"/>
  <c r="E138" i="2"/>
  <c r="F138" i="2"/>
  <c r="G138" i="2"/>
  <c r="M138" i="2"/>
  <c r="T138" i="2"/>
  <c r="V138" i="2"/>
  <c r="AB138" i="2"/>
  <c r="AD138" i="2"/>
  <c r="AC138" i="2" s="1"/>
  <c r="AE138" i="2"/>
  <c r="V139" i="2"/>
  <c r="AB139" i="2"/>
  <c r="AD139" i="2"/>
  <c r="AC139" i="2" s="1"/>
  <c r="AE139" i="2"/>
  <c r="V140" i="2"/>
  <c r="AB140" i="2"/>
  <c r="AD140" i="2"/>
  <c r="AC140" i="2" s="1"/>
  <c r="AE140" i="2"/>
  <c r="AB141" i="2"/>
  <c r="AD141" i="2"/>
  <c r="AC141" i="2" s="1"/>
  <c r="AE141" i="2"/>
  <c r="V142" i="2"/>
  <c r="AB142" i="2"/>
  <c r="AD142" i="2"/>
  <c r="AC142" i="2" s="1"/>
  <c r="AE142" i="2"/>
  <c r="V143" i="2"/>
  <c r="AB143" i="2"/>
  <c r="AD143" i="2"/>
  <c r="AC143" i="2" s="1"/>
  <c r="AE143" i="2"/>
  <c r="V144" i="2"/>
  <c r="AB144" i="2"/>
  <c r="AD144" i="2"/>
  <c r="AC144" i="2" s="1"/>
  <c r="AE144" i="2"/>
  <c r="AB145" i="2"/>
  <c r="AD145" i="2"/>
  <c r="AC145" i="2" s="1"/>
  <c r="AE145" i="2"/>
  <c r="V146" i="2"/>
  <c r="AB146" i="2"/>
  <c r="AD146" i="2"/>
  <c r="AC146" i="2" s="1"/>
  <c r="AE146" i="2"/>
  <c r="V147" i="2"/>
  <c r="AB147" i="2"/>
  <c r="AD147" i="2"/>
  <c r="AC147" i="2" s="1"/>
  <c r="AE147" i="2"/>
  <c r="V148" i="2"/>
  <c r="AB148" i="2"/>
  <c r="AD148" i="2"/>
  <c r="AC148" i="2" s="1"/>
  <c r="AE148" i="2"/>
  <c r="V149" i="2"/>
  <c r="AB149" i="2"/>
  <c r="AD149" i="2"/>
  <c r="AC149" i="2" s="1"/>
  <c r="AE149" i="2"/>
  <c r="V150" i="2"/>
  <c r="AB150" i="2"/>
  <c r="AD150" i="2"/>
  <c r="AC150" i="2" s="1"/>
  <c r="AE150" i="2"/>
  <c r="E151" i="2"/>
  <c r="F151" i="2"/>
  <c r="G151" i="2"/>
  <c r="J151" i="2"/>
  <c r="M151" i="2"/>
  <c r="N151" i="2"/>
  <c r="P151" i="2"/>
  <c r="S151" i="2"/>
  <c r="T151" i="2"/>
  <c r="V151" i="2"/>
  <c r="AB151" i="2"/>
  <c r="AD151" i="2"/>
  <c r="AC151" i="2" s="1"/>
  <c r="AE151" i="2"/>
  <c r="V152" i="2"/>
  <c r="AB152" i="2"/>
  <c r="AD152" i="2"/>
  <c r="AC152" i="2" s="1"/>
  <c r="AE152" i="2"/>
  <c r="V153" i="2"/>
  <c r="AA153" i="2"/>
  <c r="AB153" i="2"/>
  <c r="AD153" i="2"/>
  <c r="AC153" i="2" s="1"/>
  <c r="AE153" i="2"/>
  <c r="V154" i="2"/>
  <c r="AB154" i="2"/>
  <c r="AD154" i="2"/>
  <c r="AC154" i="2" s="1"/>
  <c r="AE154" i="2"/>
  <c r="V155" i="2"/>
  <c r="AA155" i="2"/>
  <c r="AB155" i="2"/>
  <c r="AD155" i="2"/>
  <c r="AC155" i="2" s="1"/>
  <c r="AE155" i="2"/>
  <c r="AB156" i="2"/>
  <c r="AD156" i="2"/>
  <c r="K157" i="2"/>
  <c r="M157" i="2"/>
  <c r="V157" i="2"/>
  <c r="AB157" i="2"/>
  <c r="AD157" i="2"/>
  <c r="AC157" i="2" s="1"/>
  <c r="AE157" i="2"/>
  <c r="V158" i="2"/>
  <c r="AB158" i="2"/>
  <c r="AD158" i="2"/>
  <c r="AC158" i="2" s="1"/>
  <c r="AE158" i="2"/>
  <c r="AB159" i="2"/>
  <c r="AE159" i="2" s="1"/>
  <c r="AD159" i="2"/>
  <c r="AC159" i="2" s="1"/>
  <c r="E160" i="2"/>
  <c r="F160" i="2"/>
  <c r="G160" i="2"/>
  <c r="H160" i="2"/>
  <c r="J160" i="2"/>
  <c r="M160" i="2"/>
  <c r="P160" i="2"/>
  <c r="T160" i="2"/>
  <c r="V160" i="2"/>
  <c r="Y160" i="2"/>
  <c r="AB160" i="2"/>
  <c r="AC160" i="2"/>
  <c r="AD160" i="2"/>
  <c r="AE160" i="2"/>
  <c r="E161" i="2"/>
  <c r="G161" i="2"/>
  <c r="H161" i="2"/>
  <c r="J161" i="2"/>
  <c r="L161" i="2"/>
  <c r="M161" i="2"/>
  <c r="P161" i="2"/>
  <c r="T161" i="2"/>
  <c r="V161" i="2"/>
  <c r="AB161" i="2"/>
  <c r="AD161" i="2"/>
  <c r="AC161" i="2" s="1"/>
  <c r="AE161" i="2"/>
  <c r="E162" i="2"/>
  <c r="G162" i="2"/>
  <c r="M162" i="2"/>
  <c r="V162" i="2"/>
  <c r="AB162" i="2"/>
  <c r="AD162" i="2"/>
  <c r="AC162" i="2" s="1"/>
  <c r="AE162" i="2"/>
  <c r="E163" i="2"/>
  <c r="H163" i="2"/>
  <c r="K163" i="2"/>
  <c r="L163" i="2"/>
  <c r="M163" i="2"/>
  <c r="P163" i="2"/>
  <c r="V163" i="2"/>
  <c r="AB163" i="2"/>
  <c r="AE163" i="2" s="1"/>
  <c r="AD163" i="2"/>
  <c r="AC163" i="2" s="1"/>
  <c r="E164" i="2"/>
  <c r="F164" i="2"/>
  <c r="H164" i="2"/>
  <c r="K164" i="2"/>
  <c r="M164" i="2"/>
  <c r="V164" i="2"/>
  <c r="AB164" i="2"/>
  <c r="AD164" i="2"/>
  <c r="V165" i="2"/>
  <c r="AB165" i="2"/>
  <c r="AD165" i="2"/>
  <c r="AC165" i="2" s="1"/>
  <c r="AE165" i="2"/>
  <c r="P166" i="2"/>
  <c r="AB166" i="2" s="1"/>
  <c r="AE166" i="2" s="1"/>
  <c r="V166" i="2"/>
  <c r="AD166" i="2"/>
  <c r="AC166" i="2" s="1"/>
  <c r="F167" i="2"/>
  <c r="G167" i="2"/>
  <c r="H167" i="2"/>
  <c r="M167" i="2"/>
  <c r="P167" i="2"/>
  <c r="V167" i="2"/>
  <c r="AB167" i="2"/>
  <c r="AD167" i="2"/>
  <c r="AC167" i="2" s="1"/>
  <c r="AE167" i="2"/>
  <c r="AB168" i="2"/>
  <c r="AD168" i="2"/>
  <c r="AC168" i="2" s="1"/>
  <c r="AE168" i="2"/>
  <c r="V169" i="2"/>
  <c r="AB169" i="2"/>
  <c r="AD169" i="2"/>
  <c r="AC169" i="2" s="1"/>
  <c r="AE169" i="2"/>
  <c r="V170" i="2"/>
  <c r="AB170" i="2"/>
  <c r="AD170" i="2"/>
  <c r="AC170" i="2" s="1"/>
  <c r="AE170" i="2"/>
  <c r="V171" i="2"/>
  <c r="AB171" i="2"/>
  <c r="AD171" i="2"/>
  <c r="AC171" i="2" s="1"/>
  <c r="AE171" i="2"/>
  <c r="AB172" i="2"/>
  <c r="AD172" i="2"/>
  <c r="AC172" i="2" s="1"/>
  <c r="AE172" i="2"/>
  <c r="E173" i="2"/>
  <c r="F173" i="2"/>
  <c r="G173" i="2"/>
  <c r="H173" i="2"/>
  <c r="J173" i="2"/>
  <c r="M173" i="2"/>
  <c r="V173" i="2"/>
  <c r="AB173" i="2"/>
  <c r="AD173" i="2"/>
  <c r="AC173" i="2" s="1"/>
  <c r="AE173" i="2"/>
  <c r="E174" i="2"/>
  <c r="F174" i="2"/>
  <c r="G174" i="2"/>
  <c r="H174" i="2"/>
  <c r="L174" i="2"/>
  <c r="M174" i="2"/>
  <c r="N174" i="2"/>
  <c r="P174" i="2"/>
  <c r="R174" i="2"/>
  <c r="T174" i="2"/>
  <c r="Y174" i="2"/>
  <c r="AB174" i="2"/>
  <c r="AD174" i="2"/>
  <c r="AC174" i="2" s="1"/>
  <c r="AE174" i="2"/>
  <c r="V175" i="2"/>
  <c r="AB175" i="2"/>
  <c r="AD175" i="2"/>
  <c r="AC175" i="2" s="1"/>
  <c r="AE175" i="2"/>
  <c r="V176" i="2"/>
  <c r="AB176" i="2"/>
  <c r="AD176" i="2"/>
  <c r="AC176" i="2" s="1"/>
  <c r="AE176" i="2"/>
  <c r="E177" i="2"/>
  <c r="F177" i="2"/>
  <c r="V177" i="2"/>
  <c r="AB177" i="2"/>
  <c r="AD177" i="2"/>
  <c r="AC177" i="2" s="1"/>
  <c r="AE177" i="2"/>
  <c r="V178" i="2"/>
  <c r="AB178" i="2"/>
  <c r="AD178" i="2"/>
  <c r="AC178" i="2" s="1"/>
  <c r="AE178" i="2"/>
  <c r="V179" i="2"/>
  <c r="AB179" i="2"/>
  <c r="AD179" i="2"/>
  <c r="AC179" i="2" s="1"/>
  <c r="AE179" i="2"/>
  <c r="V180" i="2"/>
  <c r="AA180" i="2"/>
  <c r="AB180" i="2"/>
  <c r="AD180" i="2"/>
  <c r="AC180" i="2" s="1"/>
  <c r="AE180" i="2"/>
  <c r="V181" i="2"/>
  <c r="AB181" i="2"/>
  <c r="AD181" i="2"/>
  <c r="AC181" i="2" s="1"/>
  <c r="AE181" i="2"/>
  <c r="V182" i="2"/>
  <c r="AA182" i="2"/>
  <c r="AB182" i="2"/>
  <c r="AD182" i="2"/>
  <c r="AC182" i="2" s="1"/>
  <c r="AE182" i="2"/>
  <c r="V183" i="2"/>
  <c r="AB183" i="2"/>
  <c r="AD183" i="2"/>
  <c r="AC183" i="2" s="1"/>
  <c r="AE183" i="2"/>
  <c r="V184" i="2"/>
  <c r="AB184" i="2"/>
  <c r="AD184" i="2"/>
  <c r="AC184" i="2" s="1"/>
  <c r="AE184" i="2"/>
  <c r="V185" i="2"/>
  <c r="AB185" i="2"/>
  <c r="AD185" i="2"/>
  <c r="AC185" i="2" s="1"/>
  <c r="AE185" i="2"/>
  <c r="AB186" i="2"/>
  <c r="AD186" i="2"/>
  <c r="AC186" i="2" s="1"/>
  <c r="AE186" i="2"/>
  <c r="V187" i="2"/>
  <c r="AB187" i="2"/>
  <c r="AD187" i="2"/>
  <c r="AC187" i="2" s="1"/>
  <c r="AE187" i="2"/>
  <c r="AB188" i="2"/>
  <c r="AD188" i="2"/>
  <c r="AC188" i="2" s="1"/>
  <c r="AE188" i="2"/>
  <c r="AA189" i="2"/>
  <c r="AB189" i="2"/>
  <c r="AD189" i="2"/>
  <c r="AC189" i="2" s="1"/>
  <c r="AE189" i="2"/>
  <c r="E190" i="2"/>
  <c r="F190" i="2"/>
  <c r="H190" i="2"/>
  <c r="M190" i="2"/>
  <c r="V190" i="2"/>
  <c r="AB190" i="2"/>
  <c r="AD190" i="2"/>
  <c r="AC190" i="2" s="1"/>
  <c r="AE190" i="2"/>
  <c r="K191" i="2"/>
  <c r="V191" i="2"/>
  <c r="AB191" i="2"/>
  <c r="AD191" i="2"/>
  <c r="AC191" i="2" s="1"/>
  <c r="AE191" i="2"/>
  <c r="V192" i="2"/>
  <c r="AB192" i="2"/>
  <c r="AD192" i="2"/>
  <c r="AC192" i="2" s="1"/>
  <c r="AE192" i="2"/>
  <c r="V193" i="2"/>
  <c r="AB193" i="2"/>
  <c r="AD193" i="2"/>
  <c r="AC193" i="2" s="1"/>
  <c r="AE193" i="2"/>
  <c r="F194" i="2"/>
  <c r="G194" i="2"/>
  <c r="H194" i="2"/>
  <c r="I194" i="2"/>
  <c r="M194" i="2"/>
  <c r="P194" i="2"/>
  <c r="V194" i="2"/>
  <c r="AB194" i="2"/>
  <c r="AD194" i="2"/>
  <c r="AC194" i="2" s="1"/>
  <c r="AE194" i="2"/>
  <c r="V195" i="2"/>
  <c r="AB195" i="2"/>
  <c r="AD195" i="2"/>
  <c r="AC195" i="2" s="1"/>
  <c r="AE195" i="2"/>
  <c r="V196" i="2"/>
  <c r="AB196" i="2"/>
  <c r="AD196" i="2"/>
  <c r="AC196" i="2" s="1"/>
  <c r="AE196" i="2"/>
  <c r="V197" i="2"/>
  <c r="AB197" i="2"/>
  <c r="AD197" i="2"/>
  <c r="AC197" i="2" s="1"/>
  <c r="AE197" i="2"/>
  <c r="V198" i="2"/>
  <c r="AB198" i="2"/>
  <c r="AD198" i="2"/>
  <c r="AC198" i="2" s="1"/>
  <c r="AE198" i="2"/>
  <c r="AB199" i="2"/>
  <c r="AD199" i="2"/>
  <c r="AC199" i="2" s="1"/>
  <c r="AE199" i="2"/>
  <c r="V200" i="2"/>
  <c r="AB200" i="2"/>
  <c r="AD200" i="2"/>
  <c r="AC200" i="2" s="1"/>
  <c r="AE200" i="2"/>
  <c r="V201" i="2"/>
  <c r="AB201" i="2"/>
  <c r="AD201" i="2"/>
  <c r="AC201" i="2" s="1"/>
  <c r="AE201" i="2"/>
  <c r="E202" i="2"/>
  <c r="F202" i="2"/>
  <c r="G202" i="2"/>
  <c r="H202" i="2"/>
  <c r="M202" i="2"/>
  <c r="P202" i="2"/>
  <c r="S202" i="2"/>
  <c r="T202" i="2"/>
  <c r="V202" i="2"/>
  <c r="AB202" i="2"/>
  <c r="AD202" i="2"/>
  <c r="AC202" i="2" s="1"/>
  <c r="AE202" i="2"/>
  <c r="V203" i="2"/>
  <c r="AB203" i="2"/>
  <c r="AD203" i="2"/>
  <c r="AC203" i="2" s="1"/>
  <c r="AE203" i="2"/>
  <c r="V204" i="2"/>
  <c r="AB204" i="2"/>
  <c r="AD204" i="2"/>
  <c r="AC204" i="2" s="1"/>
  <c r="AE204" i="2"/>
  <c r="V205" i="2"/>
  <c r="AB205" i="2"/>
  <c r="AD205" i="2"/>
  <c r="AC205" i="2" s="1"/>
  <c r="AE205" i="2"/>
  <c r="V206" i="2"/>
  <c r="AB206" i="2"/>
  <c r="AD206" i="2"/>
  <c r="AC206" i="2" s="1"/>
  <c r="AE206" i="2"/>
  <c r="V207" i="2"/>
  <c r="AA207" i="2"/>
  <c r="AB207" i="2"/>
  <c r="AD207" i="2"/>
  <c r="AC207" i="2" s="1"/>
  <c r="AE207" i="2"/>
  <c r="F208" i="2"/>
  <c r="K208" i="2"/>
  <c r="T208" i="2"/>
  <c r="V208" i="2"/>
  <c r="AB208" i="2"/>
  <c r="AD208" i="2"/>
  <c r="AC208" i="2" s="1"/>
  <c r="AE208" i="2"/>
  <c r="V209" i="2"/>
  <c r="AB209" i="2"/>
  <c r="AD209" i="2"/>
  <c r="AC209" i="2" s="1"/>
  <c r="AE209" i="2"/>
  <c r="AB210" i="2"/>
  <c r="AD210" i="2"/>
  <c r="AC210" i="2" s="1"/>
  <c r="AE210" i="2"/>
  <c r="V211" i="2"/>
  <c r="AB211" i="2"/>
  <c r="AD211" i="2"/>
  <c r="AC211" i="2" s="1"/>
  <c r="AE211" i="2"/>
  <c r="V212" i="2"/>
  <c r="AB212" i="2"/>
  <c r="AD212" i="2"/>
  <c r="AC212" i="2" s="1"/>
  <c r="AE212" i="2"/>
  <c r="AB213" i="2"/>
  <c r="AD213" i="2"/>
  <c r="AC213" i="2" s="1"/>
  <c r="AE213" i="2"/>
  <c r="E214" i="2"/>
  <c r="F214" i="2"/>
  <c r="G214" i="2"/>
  <c r="H214" i="2"/>
  <c r="I214" i="2"/>
  <c r="J214" i="2"/>
  <c r="M214" i="2"/>
  <c r="N214" i="2"/>
  <c r="P214" i="2"/>
  <c r="Q214" i="2"/>
  <c r="V214" i="2"/>
  <c r="AB214" i="2"/>
  <c r="AD214" i="2"/>
  <c r="AC214" i="2" s="1"/>
  <c r="AE214" i="2"/>
  <c r="AB215" i="2"/>
  <c r="AD215" i="2"/>
  <c r="AC215" i="2" s="1"/>
  <c r="AE215" i="2"/>
  <c r="V216" i="2"/>
  <c r="AB216" i="2"/>
  <c r="AD216" i="2"/>
  <c r="AC216" i="2" s="1"/>
  <c r="AE216" i="2"/>
  <c r="AB217" i="2"/>
  <c r="AD217" i="2"/>
  <c r="AC217" i="2" s="1"/>
  <c r="AE217" i="2"/>
  <c r="V218" i="2"/>
  <c r="AB218" i="2"/>
  <c r="AD218" i="2"/>
  <c r="AC218" i="2" s="1"/>
  <c r="AE218" i="2"/>
  <c r="V219" i="2"/>
  <c r="AB219" i="2"/>
  <c r="AD219" i="2"/>
  <c r="AC219" i="2" s="1"/>
  <c r="AE219" i="2"/>
  <c r="V220" i="2"/>
  <c r="AB220" i="2"/>
  <c r="AD220" i="2"/>
  <c r="AC220" i="2" s="1"/>
  <c r="AE220" i="2"/>
  <c r="F221" i="2"/>
  <c r="G221" i="2"/>
  <c r="H221" i="2"/>
  <c r="M221" i="2"/>
  <c r="P221" i="2"/>
  <c r="V221" i="2"/>
  <c r="AB221" i="2"/>
  <c r="AD221" i="2"/>
  <c r="AC221" i="2" s="1"/>
  <c r="AE221" i="2"/>
  <c r="AB222" i="2"/>
  <c r="AD222" i="2"/>
  <c r="AC222" i="2" s="1"/>
  <c r="AE222" i="2"/>
  <c r="V223" i="2"/>
  <c r="AB223" i="2"/>
  <c r="AD223" i="2"/>
  <c r="AC223" i="2" s="1"/>
  <c r="AE223" i="2"/>
  <c r="F224" i="2"/>
  <c r="G224" i="2"/>
  <c r="K224" i="2"/>
  <c r="M224" i="2"/>
  <c r="V224" i="2"/>
  <c r="AB224" i="2"/>
  <c r="AD224" i="2"/>
  <c r="AC224" i="2" s="1"/>
  <c r="AE224" i="2"/>
  <c r="E225" i="2"/>
  <c r="F225" i="2"/>
  <c r="G225" i="2"/>
  <c r="M225" i="2"/>
  <c r="N225" i="2"/>
  <c r="P225" i="2"/>
  <c r="R225" i="2"/>
  <c r="T225" i="2"/>
  <c r="V225" i="2"/>
  <c r="AB225" i="2"/>
  <c r="AD225" i="2"/>
  <c r="AC225" i="2" s="1"/>
  <c r="AE225" i="2"/>
  <c r="AB226" i="2"/>
  <c r="AD226" i="2"/>
  <c r="AC226" i="2" s="1"/>
  <c r="AE226" i="2"/>
  <c r="V227" i="2"/>
  <c r="AB227" i="2"/>
  <c r="AD227" i="2"/>
  <c r="AC227" i="2" s="1"/>
  <c r="AE227" i="2"/>
  <c r="E228" i="2"/>
  <c r="F228" i="2"/>
  <c r="H228" i="2"/>
  <c r="M228" i="2"/>
  <c r="N228" i="2"/>
  <c r="P228" i="2"/>
  <c r="Q228" i="2"/>
  <c r="R228" i="2"/>
  <c r="T228" i="2"/>
  <c r="V228" i="2"/>
  <c r="AB228" i="2"/>
  <c r="AD228" i="2"/>
  <c r="AC228" i="2" s="1"/>
  <c r="AE228" i="2"/>
  <c r="E229" i="2"/>
  <c r="F229" i="2"/>
  <c r="G229" i="2"/>
  <c r="H229" i="2"/>
  <c r="I229" i="2"/>
  <c r="K229" i="2"/>
  <c r="M229" i="2"/>
  <c r="N229" i="2"/>
  <c r="O229" i="2"/>
  <c r="P229" i="2"/>
  <c r="Q229" i="2"/>
  <c r="T229" i="2"/>
  <c r="V229" i="2"/>
  <c r="AB229" i="2"/>
  <c r="AD229" i="2"/>
  <c r="AC229" i="2" s="1"/>
  <c r="AE229" i="2"/>
  <c r="V230" i="2"/>
  <c r="AB230" i="2"/>
  <c r="AD230" i="2"/>
  <c r="AC230" i="2" s="1"/>
  <c r="AE230" i="2"/>
  <c r="V231" i="2"/>
  <c r="AB231" i="2"/>
  <c r="AD231" i="2"/>
  <c r="AC231" i="2" s="1"/>
  <c r="AE231" i="2"/>
  <c r="V232" i="2"/>
  <c r="AB232" i="2"/>
  <c r="AD232" i="2"/>
  <c r="AC232" i="2" s="1"/>
  <c r="AE232" i="2"/>
  <c r="V233" i="2"/>
  <c r="AB233" i="2"/>
  <c r="AD233" i="2"/>
  <c r="AC233" i="2" s="1"/>
  <c r="AE233" i="2"/>
  <c r="E234" i="2"/>
  <c r="F234" i="2"/>
  <c r="M234" i="2"/>
  <c r="O234" i="2"/>
  <c r="V234" i="2"/>
  <c r="AA234" i="2"/>
  <c r="AB234" i="2"/>
  <c r="AD234" i="2"/>
  <c r="AC234" i="2" s="1"/>
  <c r="AE234" i="2"/>
  <c r="V235" i="2"/>
  <c r="AB235" i="2"/>
  <c r="AD235" i="2"/>
  <c r="AC235" i="2" s="1"/>
  <c r="AE235" i="2"/>
  <c r="E236" i="2"/>
  <c r="F236" i="2"/>
  <c r="G236" i="2"/>
  <c r="H236" i="2"/>
  <c r="K236" i="2"/>
  <c r="M236" i="2"/>
  <c r="O236" i="2"/>
  <c r="P236" i="2"/>
  <c r="T236" i="2"/>
  <c r="V236" i="2"/>
  <c r="Y236" i="2"/>
  <c r="AA236" i="2"/>
  <c r="AB236" i="2"/>
  <c r="AD236" i="2"/>
  <c r="AC236" i="2" s="1"/>
  <c r="AE236" i="2"/>
  <c r="E237" i="2"/>
  <c r="AB237" i="2"/>
  <c r="AD237" i="2"/>
  <c r="AC237" i="2" s="1"/>
  <c r="AE237" i="2"/>
  <c r="E238" i="2"/>
  <c r="F238" i="2"/>
  <c r="H238" i="2"/>
  <c r="K238" i="2"/>
  <c r="M238" i="2"/>
  <c r="P238" i="2"/>
  <c r="Q238" i="2"/>
  <c r="S238" i="2"/>
  <c r="T238" i="2"/>
  <c r="V238" i="2"/>
  <c r="AB238" i="2"/>
  <c r="AD238" i="2"/>
  <c r="AC238" i="2" s="1"/>
  <c r="AE238" i="2"/>
  <c r="V239" i="2"/>
  <c r="AB239" i="2"/>
  <c r="AD239" i="2"/>
  <c r="AC239" i="2" s="1"/>
  <c r="AE239" i="2"/>
  <c r="E240" i="2"/>
  <c r="F240" i="2"/>
  <c r="H240" i="2"/>
  <c r="K240" i="2"/>
  <c r="M240" i="2"/>
  <c r="P240" i="2"/>
  <c r="T240" i="2"/>
  <c r="V240" i="2"/>
  <c r="AB240" i="2"/>
  <c r="AD240" i="2"/>
  <c r="AC240" i="2" s="1"/>
  <c r="AE240" i="2"/>
  <c r="E241" i="2"/>
  <c r="F241" i="2"/>
  <c r="G241" i="2"/>
  <c r="H241" i="2"/>
  <c r="I241" i="2"/>
  <c r="J241" i="2"/>
  <c r="M241" i="2"/>
  <c r="N241" i="2"/>
  <c r="O241" i="2"/>
  <c r="P241" i="2"/>
  <c r="Q241" i="2"/>
  <c r="V241" i="2"/>
  <c r="AB241" i="2"/>
  <c r="AD241" i="2"/>
  <c r="AC241" i="2" s="1"/>
  <c r="AE241" i="2"/>
  <c r="E242" i="2"/>
  <c r="F242" i="2"/>
  <c r="G242" i="2"/>
  <c r="H242" i="2"/>
  <c r="J242" i="2"/>
  <c r="L242" i="2"/>
  <c r="M242" i="2"/>
  <c r="P242" i="2"/>
  <c r="T242" i="2"/>
  <c r="V242" i="2"/>
  <c r="AB242" i="2"/>
  <c r="AD242" i="2"/>
  <c r="AC242" i="2" s="1"/>
  <c r="AE242" i="2"/>
  <c r="AB243" i="2"/>
  <c r="AD243" i="2"/>
  <c r="AC243" i="2" s="1"/>
  <c r="AE243" i="2"/>
  <c r="E244" i="2"/>
  <c r="AB244" i="2"/>
  <c r="AD244" i="2"/>
  <c r="AC244" i="2" s="1"/>
  <c r="AE244" i="2"/>
  <c r="E245" i="2"/>
  <c r="F245" i="2"/>
  <c r="H245" i="2"/>
  <c r="K245" i="2"/>
  <c r="M245" i="2"/>
  <c r="P245" i="2"/>
  <c r="V245" i="2"/>
  <c r="AB245" i="2"/>
  <c r="AD245" i="2"/>
  <c r="AC245" i="2" s="1"/>
  <c r="AE245" i="2"/>
  <c r="V246" i="2"/>
  <c r="AB246" i="2"/>
  <c r="AD246" i="2"/>
  <c r="AC246" i="2" s="1"/>
  <c r="AE246" i="2"/>
  <c r="E247" i="2"/>
  <c r="F247" i="2"/>
  <c r="V247" i="2"/>
  <c r="AB247" i="2"/>
  <c r="AD247" i="2"/>
  <c r="AC247" i="2" s="1"/>
  <c r="AE247" i="2"/>
  <c r="F248" i="2"/>
  <c r="G248" i="2"/>
  <c r="H248" i="2"/>
  <c r="I248" i="2"/>
  <c r="M248" i="2"/>
  <c r="P248" i="2"/>
  <c r="V248" i="2"/>
  <c r="AB248" i="2"/>
  <c r="AD248" i="2"/>
  <c r="AC248" i="2" s="1"/>
  <c r="AE248" i="2"/>
  <c r="AB249" i="2"/>
  <c r="AD249" i="2"/>
  <c r="AC249" i="2" s="1"/>
  <c r="AE249" i="2"/>
  <c r="V250" i="2"/>
  <c r="AB250" i="2"/>
  <c r="AD250" i="2"/>
  <c r="AC250" i="2" s="1"/>
  <c r="AE250" i="2"/>
  <c r="V251" i="2"/>
  <c r="AB251" i="2"/>
  <c r="AD251" i="2"/>
  <c r="AC251" i="2" s="1"/>
  <c r="AE251" i="2"/>
  <c r="V252" i="2"/>
  <c r="AA252" i="2"/>
  <c r="AB252" i="2"/>
  <c r="AD252" i="2"/>
  <c r="AC252" i="2" s="1"/>
  <c r="AE252" i="2"/>
  <c r="M253" i="2"/>
  <c r="P253" i="2"/>
  <c r="R253" i="2"/>
  <c r="V253" i="2"/>
  <c r="AB253" i="2"/>
  <c r="AD253" i="2"/>
  <c r="AC253" i="2" s="1"/>
  <c r="AE253" i="2"/>
  <c r="V254" i="2"/>
  <c r="AB254" i="2"/>
  <c r="AD254" i="2"/>
  <c r="AC254" i="2" s="1"/>
  <c r="AE254" i="2"/>
  <c r="V255" i="2"/>
  <c r="AB255" i="2"/>
  <c r="AD255" i="2"/>
  <c r="AC255" i="2" s="1"/>
  <c r="AE255" i="2"/>
  <c r="E256" i="2"/>
  <c r="F256" i="2"/>
  <c r="G256" i="2"/>
  <c r="H256" i="2"/>
  <c r="M256" i="2"/>
  <c r="O256" i="2"/>
  <c r="P256" i="2"/>
  <c r="Q256" i="2"/>
  <c r="S256" i="2"/>
  <c r="T256" i="2"/>
  <c r="V256" i="2"/>
  <c r="AB256" i="2"/>
  <c r="AD256" i="2"/>
  <c r="AC256" i="2" s="1"/>
  <c r="AE256" i="2"/>
  <c r="V257" i="2"/>
  <c r="AB257" i="2"/>
  <c r="AD257" i="2"/>
  <c r="AC257" i="2" s="1"/>
  <c r="AE257" i="2"/>
  <c r="V258" i="2"/>
  <c r="AB258" i="2"/>
  <c r="AD258" i="2"/>
  <c r="AC258" i="2" s="1"/>
  <c r="AE258" i="2"/>
  <c r="V259" i="2"/>
  <c r="AB259" i="2"/>
  <c r="AD259" i="2"/>
  <c r="AC259" i="2" s="1"/>
  <c r="AE259" i="2"/>
  <c r="V260" i="2"/>
  <c r="AB260" i="2"/>
  <c r="AD260" i="2"/>
  <c r="AC260" i="2" s="1"/>
  <c r="AE260" i="2"/>
  <c r="M261" i="2"/>
  <c r="V261" i="2"/>
  <c r="AA261" i="2"/>
  <c r="AB261" i="2"/>
  <c r="AD261" i="2"/>
  <c r="AC261" i="2" s="1"/>
  <c r="AE261" i="2"/>
  <c r="V262" i="2"/>
  <c r="AB262" i="2"/>
  <c r="AD262" i="2"/>
  <c r="AC262" i="2" s="1"/>
  <c r="AE262" i="2"/>
  <c r="V263" i="2"/>
  <c r="AA263" i="2"/>
  <c r="AB263" i="2"/>
  <c r="AD263" i="2"/>
  <c r="AC263" i="2" s="1"/>
  <c r="AE263" i="2"/>
  <c r="E264" i="2"/>
  <c r="G264" i="2"/>
  <c r="H264" i="2"/>
  <c r="I264" i="2"/>
  <c r="M264" i="2"/>
  <c r="P264" i="2"/>
  <c r="V264" i="2"/>
  <c r="AB264" i="2"/>
  <c r="AD264" i="2"/>
  <c r="AC264" i="2" s="1"/>
  <c r="AE264" i="2"/>
  <c r="V265" i="2"/>
  <c r="AB265" i="2"/>
  <c r="AD265" i="2"/>
  <c r="AC265" i="2" s="1"/>
  <c r="AE265" i="2"/>
  <c r="V266" i="2"/>
  <c r="W266" i="2"/>
  <c r="AB266" i="2"/>
  <c r="AD266" i="2"/>
  <c r="AC266" i="2" s="1"/>
  <c r="AE266" i="2"/>
  <c r="AB267" i="2"/>
  <c r="AD267" i="2"/>
  <c r="AC267" i="2" s="1"/>
  <c r="AE267" i="2"/>
  <c r="AB268" i="2"/>
  <c r="AD268" i="2"/>
  <c r="AC268" i="2" s="1"/>
  <c r="AE268" i="2"/>
  <c r="E269" i="2"/>
  <c r="F269" i="2"/>
  <c r="G269" i="2"/>
  <c r="H269" i="2"/>
  <c r="J269" i="2"/>
  <c r="K269" i="2"/>
  <c r="L269" i="2"/>
  <c r="M269" i="2"/>
  <c r="O269" i="2"/>
  <c r="P269" i="2"/>
  <c r="V269" i="2"/>
  <c r="AB269" i="2"/>
  <c r="AD269" i="2"/>
  <c r="AC269" i="2" s="1"/>
  <c r="AE269" i="2"/>
  <c r="M270" i="2"/>
  <c r="V270" i="2"/>
  <c r="AB270" i="2"/>
  <c r="AD270" i="2"/>
  <c r="AC270" i="2" s="1"/>
  <c r="AE270" i="2"/>
  <c r="E271" i="2"/>
  <c r="F271" i="2"/>
  <c r="K271" i="2"/>
  <c r="M271" i="2"/>
  <c r="P271" i="2"/>
  <c r="V271" i="2"/>
  <c r="AB271" i="2"/>
  <c r="AD271" i="2"/>
  <c r="AC271" i="2" s="1"/>
  <c r="AE271" i="2"/>
  <c r="E272" i="2"/>
  <c r="H272" i="2"/>
  <c r="K272" i="2"/>
  <c r="M272" i="2"/>
  <c r="P272" i="2"/>
  <c r="V272" i="2"/>
  <c r="AB272" i="2"/>
  <c r="AD272" i="2"/>
  <c r="AC272" i="2" s="1"/>
  <c r="AE272" i="2"/>
  <c r="AB273" i="2"/>
  <c r="AD273" i="2"/>
  <c r="AC273" i="2" s="1"/>
  <c r="AE273" i="2"/>
  <c r="V274" i="2"/>
  <c r="AB274" i="2"/>
  <c r="AD274" i="2"/>
  <c r="AC274" i="2" s="1"/>
  <c r="AE274" i="2"/>
  <c r="F275" i="2"/>
  <c r="G275" i="2"/>
  <c r="H275" i="2"/>
  <c r="I275" i="2"/>
  <c r="M275" i="2"/>
  <c r="P275" i="2"/>
  <c r="V275" i="2"/>
  <c r="AB275" i="2"/>
  <c r="AD275" i="2"/>
  <c r="AC275" i="2" s="1"/>
  <c r="AE275" i="2"/>
  <c r="AB276" i="2"/>
  <c r="AD276" i="2"/>
  <c r="AC276" i="2" s="1"/>
  <c r="AE276" i="2"/>
  <c r="M277" i="2"/>
  <c r="V277" i="2"/>
  <c r="AB277" i="2"/>
  <c r="AD277" i="2"/>
  <c r="AC277" i="2" s="1"/>
  <c r="AE277" i="2"/>
  <c r="E278" i="2"/>
  <c r="F278" i="2"/>
  <c r="G278" i="2"/>
  <c r="H278" i="2"/>
  <c r="K278" i="2"/>
  <c r="P278" i="2"/>
  <c r="R278" i="2"/>
  <c r="T278" i="2"/>
  <c r="V278" i="2"/>
  <c r="AB278" i="2"/>
  <c r="AD278" i="2"/>
  <c r="AC278" i="2" s="1"/>
  <c r="AE278" i="2"/>
  <c r="M279" i="2"/>
  <c r="N279" i="2"/>
  <c r="P279" i="2"/>
  <c r="R279" i="2"/>
  <c r="T279" i="2"/>
  <c r="V279" i="2"/>
  <c r="AB279" i="2"/>
  <c r="AD279" i="2"/>
  <c r="AC279" i="2" s="1"/>
  <c r="AE279" i="2"/>
  <c r="AB280" i="2"/>
  <c r="AD280" i="2"/>
  <c r="AC280" i="2" s="1"/>
  <c r="AE280" i="2"/>
  <c r="E281" i="2"/>
  <c r="F281" i="2"/>
  <c r="G281" i="2"/>
  <c r="H281" i="2"/>
  <c r="M281" i="2"/>
  <c r="N281" i="2"/>
  <c r="P281" i="2"/>
  <c r="R281" i="2"/>
  <c r="S281" i="2"/>
  <c r="T281" i="2"/>
  <c r="V281" i="2"/>
  <c r="AB281" i="2"/>
  <c r="AD281" i="2"/>
  <c r="AC281" i="2" s="1"/>
  <c r="AE281" i="2"/>
  <c r="E282" i="2"/>
  <c r="F282" i="2"/>
  <c r="M282" i="2"/>
  <c r="N282" i="2"/>
  <c r="Q282" i="2"/>
  <c r="V282" i="2"/>
  <c r="AB282" i="2"/>
  <c r="AD282" i="2"/>
  <c r="AC282" i="2" s="1"/>
  <c r="AE282" i="2"/>
  <c r="E283" i="2"/>
  <c r="F283" i="2"/>
  <c r="G283" i="2"/>
  <c r="H283" i="2"/>
  <c r="M283" i="2"/>
  <c r="N283" i="2"/>
  <c r="O283" i="2"/>
  <c r="P283" i="2"/>
  <c r="Q283" i="2"/>
  <c r="T283" i="2"/>
  <c r="V283" i="2"/>
  <c r="AB283" i="2"/>
  <c r="AD283" i="2"/>
  <c r="AC283" i="2" s="1"/>
  <c r="AE283" i="2"/>
  <c r="V284" i="2"/>
  <c r="AB284" i="2"/>
  <c r="AD284" i="2"/>
  <c r="AC284" i="2" s="1"/>
  <c r="AE284" i="2"/>
  <c r="V285" i="2"/>
  <c r="AB285" i="2"/>
  <c r="AD285" i="2"/>
  <c r="AC285" i="2" s="1"/>
  <c r="AE285" i="2"/>
  <c r="V286" i="2"/>
  <c r="AB286" i="2"/>
  <c r="AD286" i="2"/>
  <c r="AC286" i="2" s="1"/>
  <c r="AE286" i="2"/>
  <c r="V287" i="2"/>
  <c r="AB287" i="2"/>
  <c r="AD287" i="2"/>
  <c r="AC287" i="2" s="1"/>
  <c r="AE287" i="2"/>
  <c r="V288" i="2"/>
  <c r="AA288" i="2"/>
  <c r="AB288" i="2"/>
  <c r="AD288" i="2"/>
  <c r="AC288" i="2" s="1"/>
  <c r="AE288" i="2"/>
  <c r="V289" i="2"/>
  <c r="AB289" i="2"/>
  <c r="AD289" i="2"/>
  <c r="AC289" i="2" s="1"/>
  <c r="AE289" i="2"/>
  <c r="V290" i="2"/>
  <c r="Y290" i="2"/>
  <c r="AA290" i="2"/>
  <c r="AB290" i="2"/>
  <c r="AD290" i="2"/>
  <c r="AC290" i="2" s="1"/>
  <c r="AE290" i="2"/>
  <c r="AB291" i="2"/>
  <c r="AD291" i="2"/>
  <c r="AC291" i="2" s="1"/>
  <c r="AE291" i="2"/>
  <c r="V292" i="2"/>
  <c r="AB292" i="2"/>
  <c r="AD292" i="2"/>
  <c r="AC292" i="2" s="1"/>
  <c r="AE292" i="2"/>
  <c r="AB293" i="2"/>
  <c r="AD293" i="2"/>
  <c r="AC293" i="2" s="1"/>
  <c r="AE293" i="2"/>
  <c r="E294" i="2"/>
  <c r="F294" i="2"/>
  <c r="H294" i="2"/>
  <c r="K294" i="2"/>
  <c r="M294" i="2"/>
  <c r="P294" i="2"/>
  <c r="T294" i="2"/>
  <c r="V294" i="2"/>
  <c r="AB294" i="2"/>
  <c r="AD294" i="2"/>
  <c r="AC294" i="2" s="1"/>
  <c r="AE294" i="2"/>
  <c r="AB295" i="2"/>
  <c r="AD295" i="2"/>
  <c r="AC295" i="2" s="1"/>
  <c r="AE295" i="2"/>
  <c r="AB296" i="2"/>
  <c r="AD296" i="2"/>
  <c r="AC296" i="2" s="1"/>
  <c r="AE296" i="2"/>
  <c r="V297" i="2"/>
  <c r="AB297" i="2"/>
  <c r="AD297" i="2"/>
  <c r="AC297" i="2" s="1"/>
  <c r="AE297" i="2"/>
  <c r="AB298" i="2"/>
  <c r="AD298" i="2"/>
  <c r="AC298" i="2" s="1"/>
  <c r="AE298" i="2"/>
  <c r="E299" i="2"/>
  <c r="F299" i="2"/>
  <c r="G299" i="2"/>
  <c r="H299" i="2"/>
  <c r="K299" i="2"/>
  <c r="M299" i="2"/>
  <c r="P299" i="2"/>
  <c r="V299" i="2"/>
  <c r="AB299" i="2"/>
  <c r="AD299" i="2"/>
  <c r="AC299" i="2" s="1"/>
  <c r="AE299" i="2"/>
  <c r="M300" i="2"/>
  <c r="AB300" i="2"/>
  <c r="AD300" i="2"/>
  <c r="AC300" i="2" s="1"/>
  <c r="AE300" i="2"/>
  <c r="V301" i="2"/>
  <c r="AB301" i="2"/>
  <c r="AD301" i="2"/>
  <c r="AC301" i="2" s="1"/>
  <c r="AE301" i="2"/>
  <c r="V302" i="2"/>
  <c r="AB302" i="2"/>
  <c r="AD302" i="2"/>
  <c r="AC302" i="2" s="1"/>
  <c r="AE302" i="2"/>
  <c r="V303" i="2"/>
  <c r="AB303" i="2"/>
  <c r="AD303" i="2"/>
  <c r="AC303" i="2" s="1"/>
  <c r="AE303" i="2"/>
  <c r="E304" i="2"/>
  <c r="F304" i="2"/>
  <c r="G304" i="2"/>
  <c r="I304" i="2"/>
  <c r="M304" i="2"/>
  <c r="O304" i="2"/>
  <c r="R304" i="2"/>
  <c r="V304" i="2"/>
  <c r="AB304" i="2"/>
  <c r="AD304" i="2"/>
  <c r="AC304" i="2" s="1"/>
  <c r="AE304" i="2"/>
  <c r="V305" i="2"/>
  <c r="AB305" i="2"/>
  <c r="AD305" i="2"/>
  <c r="AC305" i="2" s="1"/>
  <c r="AE305" i="2"/>
  <c r="V306" i="2"/>
  <c r="AB306" i="2"/>
  <c r="AD306" i="2"/>
  <c r="AC306" i="2" s="1"/>
  <c r="AE306" i="2"/>
  <c r="AB307" i="2"/>
  <c r="AD307" i="2"/>
  <c r="AC307" i="2" s="1"/>
  <c r="AE307" i="2"/>
  <c r="V308" i="2"/>
  <c r="AB308" i="2"/>
  <c r="AD308" i="2"/>
  <c r="AC308" i="2" s="1"/>
  <c r="AE308" i="2"/>
  <c r="V309" i="2"/>
  <c r="AB309" i="2"/>
  <c r="AD309" i="2"/>
  <c r="AC309" i="2" s="1"/>
  <c r="AE309" i="2"/>
  <c r="V310" i="2"/>
  <c r="AB310" i="2"/>
  <c r="AD310" i="2"/>
  <c r="AC310" i="2" s="1"/>
  <c r="AE310" i="2"/>
  <c r="V311" i="2"/>
  <c r="AB311" i="2"/>
  <c r="AD311" i="2"/>
  <c r="AC311" i="2" s="1"/>
  <c r="AE311" i="2"/>
  <c r="V312" i="2"/>
  <c r="AB312" i="2"/>
  <c r="AD312" i="2"/>
  <c r="AC312" i="2" s="1"/>
  <c r="AE312" i="2"/>
  <c r="V313" i="2"/>
  <c r="AB313" i="2"/>
  <c r="AD313" i="2"/>
  <c r="AC313" i="2" s="1"/>
  <c r="AE313" i="2"/>
  <c r="AB314" i="2"/>
  <c r="AD314" i="2"/>
  <c r="AC314" i="2" s="1"/>
  <c r="AE314" i="2"/>
  <c r="E315" i="2"/>
  <c r="V315" i="2"/>
  <c r="AA315" i="2"/>
  <c r="AB315" i="2"/>
  <c r="AD315" i="2"/>
  <c r="AC315" i="2" s="1"/>
  <c r="AE315" i="2"/>
  <c r="V316" i="2"/>
  <c r="AB316" i="2"/>
  <c r="AD316" i="2"/>
  <c r="AC316" i="2" s="1"/>
  <c r="AE316" i="2"/>
  <c r="V317" i="2"/>
  <c r="AB317" i="2"/>
  <c r="AD317" i="2"/>
  <c r="AC317" i="2" s="1"/>
  <c r="AE317" i="2"/>
  <c r="E318" i="2"/>
  <c r="G318" i="2"/>
  <c r="I318" i="2"/>
  <c r="M318" i="2"/>
  <c r="V318" i="2"/>
  <c r="AB318" i="2"/>
  <c r="AD318" i="2"/>
  <c r="AC318" i="2" s="1"/>
  <c r="AE318" i="2"/>
  <c r="V319" i="2"/>
  <c r="AB319" i="2"/>
  <c r="AD319" i="2"/>
  <c r="AC319" i="2" s="1"/>
  <c r="AE319" i="2"/>
  <c r="V320" i="2"/>
  <c r="AB320" i="2"/>
  <c r="AD320" i="2"/>
  <c r="AC320" i="2" s="1"/>
  <c r="AE320" i="2"/>
  <c r="E321" i="2"/>
  <c r="F321" i="2"/>
  <c r="K321" i="2"/>
  <c r="M321" i="2"/>
  <c r="P321" i="2"/>
  <c r="T321" i="2"/>
  <c r="V321" i="2"/>
  <c r="AB321" i="2"/>
  <c r="AD321" i="2"/>
  <c r="AC321" i="2" s="1"/>
  <c r="AE321" i="2"/>
  <c r="M322" i="2"/>
  <c r="P322" i="2"/>
  <c r="Q322" i="2"/>
  <c r="V322" i="2"/>
  <c r="AB322" i="2"/>
  <c r="AD322" i="2"/>
  <c r="AC322" i="2" s="1"/>
  <c r="AE322" i="2"/>
  <c r="V323" i="2"/>
  <c r="AB323" i="2"/>
  <c r="AD323" i="2"/>
  <c r="AC323" i="2" s="1"/>
  <c r="AE323" i="2"/>
  <c r="F324" i="2"/>
  <c r="M324" i="2"/>
  <c r="P324" i="2"/>
  <c r="V324" i="2"/>
  <c r="AB324" i="2"/>
  <c r="AD324" i="2"/>
  <c r="AC324" i="2" s="1"/>
  <c r="AE324" i="2"/>
  <c r="V325" i="2"/>
  <c r="AA325" i="2"/>
  <c r="AB325" i="2"/>
  <c r="AD325" i="2"/>
  <c r="AC325" i="2" s="1"/>
  <c r="AE325" i="2"/>
  <c r="K326" i="2"/>
  <c r="V326" i="2"/>
  <c r="AB326" i="2"/>
  <c r="AD326" i="2"/>
  <c r="AC326" i="2" s="1"/>
  <c r="AE326" i="2"/>
  <c r="E327" i="2"/>
  <c r="F327" i="2"/>
  <c r="G327" i="2"/>
  <c r="H327" i="2"/>
  <c r="M327" i="2"/>
  <c r="P327" i="2"/>
  <c r="V327" i="2"/>
  <c r="AB327" i="2"/>
  <c r="AD327" i="2"/>
  <c r="AC327" i="2" s="1"/>
  <c r="AE327" i="2"/>
  <c r="V328" i="2"/>
  <c r="AB328" i="2"/>
  <c r="AD328" i="2"/>
  <c r="AC328" i="2" s="1"/>
  <c r="AE328" i="2"/>
  <c r="F329" i="2"/>
  <c r="G329" i="2"/>
  <c r="H329" i="2"/>
  <c r="I329" i="2"/>
  <c r="M329" i="2"/>
  <c r="P329" i="2"/>
  <c r="V329" i="2"/>
  <c r="AB329" i="2"/>
  <c r="AD329" i="2"/>
  <c r="AC329" i="2" s="1"/>
  <c r="AE329" i="2"/>
  <c r="AB330" i="2"/>
  <c r="AD330" i="2"/>
  <c r="AC330" i="2" s="1"/>
  <c r="AE330" i="2"/>
  <c r="E331" i="2"/>
  <c r="F331" i="2"/>
  <c r="G331" i="2"/>
  <c r="I331" i="2"/>
  <c r="K331" i="2"/>
  <c r="M331" i="2"/>
  <c r="P331" i="2"/>
  <c r="T331" i="2"/>
  <c r="V331" i="2"/>
  <c r="AB331" i="2"/>
  <c r="AD331" i="2"/>
  <c r="AC331" i="2" s="1"/>
  <c r="AE331" i="2"/>
  <c r="V332" i="2"/>
  <c r="AB332" i="2"/>
  <c r="AD332" i="2"/>
  <c r="AC332" i="2" s="1"/>
  <c r="AE332" i="2"/>
  <c r="V333" i="2"/>
  <c r="AB333" i="2"/>
  <c r="AD333" i="2"/>
  <c r="AC333" i="2" s="1"/>
  <c r="AE333" i="2"/>
  <c r="AB334" i="2"/>
  <c r="AD334" i="2"/>
  <c r="AC334" i="2" s="1"/>
  <c r="AE334" i="2"/>
  <c r="AB335" i="2"/>
  <c r="AD335" i="2"/>
  <c r="AC335" i="2" s="1"/>
  <c r="AE335" i="2"/>
  <c r="AB336" i="2"/>
  <c r="AD336" i="2"/>
  <c r="AC336" i="2" s="1"/>
  <c r="AE336" i="2"/>
  <c r="AB337" i="2"/>
  <c r="AD337" i="2"/>
  <c r="AC337" i="2" s="1"/>
  <c r="AE337" i="2"/>
  <c r="V338" i="2"/>
  <c r="AB338" i="2"/>
  <c r="AD338" i="2"/>
  <c r="AC338" i="2" s="1"/>
  <c r="AE338" i="2"/>
  <c r="AB339" i="2"/>
  <c r="AD339" i="2"/>
  <c r="AC339" i="2" s="1"/>
  <c r="AE339" i="2"/>
  <c r="V340" i="2"/>
  <c r="AB340" i="2"/>
  <c r="AD340" i="2"/>
  <c r="AC340" i="2" s="1"/>
  <c r="AE340" i="2"/>
  <c r="V341" i="2"/>
  <c r="AB341" i="2"/>
  <c r="AD341" i="2"/>
  <c r="AC341" i="2" s="1"/>
  <c r="AE341" i="2"/>
  <c r="E342" i="2"/>
  <c r="F342" i="2"/>
  <c r="K342" i="2"/>
  <c r="L342" i="2"/>
  <c r="M342" i="2"/>
  <c r="O342" i="2"/>
  <c r="P342" i="2"/>
  <c r="T342" i="2"/>
  <c r="V342" i="2"/>
  <c r="AA342" i="2"/>
  <c r="AB342" i="2"/>
  <c r="AD342" i="2"/>
  <c r="AC342" i="2" s="1"/>
  <c r="AE342" i="2"/>
  <c r="V343" i="2"/>
  <c r="AB343" i="2"/>
  <c r="AD343" i="2"/>
  <c r="AC343" i="2" s="1"/>
  <c r="AE343" i="2"/>
  <c r="V344" i="2"/>
  <c r="AB344" i="2"/>
  <c r="AD344" i="2"/>
  <c r="AC344" i="2" s="1"/>
  <c r="AE344" i="2"/>
  <c r="E345" i="2"/>
  <c r="AB345" i="2"/>
  <c r="AD345" i="2"/>
  <c r="AC345" i="2" s="1"/>
  <c r="AE345" i="2"/>
  <c r="V346" i="2"/>
  <c r="AB346" i="2"/>
  <c r="AD346" i="2"/>
  <c r="AC346" i="2" s="1"/>
  <c r="AE346" i="2"/>
  <c r="AB347" i="2"/>
  <c r="AD347" i="2"/>
  <c r="AC347" i="2" s="1"/>
  <c r="AE347" i="2"/>
  <c r="AB348" i="2"/>
  <c r="AD348" i="2"/>
  <c r="AC348" i="2" s="1"/>
  <c r="AE348" i="2"/>
  <c r="E349" i="2"/>
  <c r="F349" i="2"/>
  <c r="H349" i="2"/>
  <c r="M349" i="2"/>
  <c r="P349" i="2"/>
  <c r="Q349" i="2"/>
  <c r="T349" i="2"/>
  <c r="V349" i="2"/>
  <c r="AB349" i="2"/>
  <c r="AD349" i="2"/>
  <c r="AC349" i="2" s="1"/>
  <c r="AE349" i="2"/>
  <c r="M350" i="2"/>
  <c r="AB350" i="2"/>
  <c r="AD350" i="2"/>
  <c r="AC350" i="2" s="1"/>
  <c r="AE350" i="2"/>
  <c r="AB351" i="2"/>
  <c r="AD351" i="2"/>
  <c r="AC351" i="2" s="1"/>
  <c r="AE351" i="2"/>
  <c r="AB352" i="2"/>
  <c r="AD352" i="2"/>
  <c r="AC352" i="2" s="1"/>
  <c r="AE352" i="2"/>
  <c r="E353" i="2"/>
  <c r="H353" i="2"/>
  <c r="K353" i="2"/>
  <c r="M353" i="2"/>
  <c r="P353" i="2"/>
  <c r="V353" i="2"/>
  <c r="AB353" i="2"/>
  <c r="AD353" i="2"/>
  <c r="AC353" i="2" s="1"/>
  <c r="AE353" i="2"/>
  <c r="AB354" i="2"/>
  <c r="AD354" i="2"/>
  <c r="AC354" i="2" s="1"/>
  <c r="AE354" i="2"/>
  <c r="T355" i="2"/>
  <c r="V355" i="2"/>
  <c r="AB355" i="2"/>
  <c r="AD355" i="2"/>
  <c r="AC355" i="2" s="1"/>
  <c r="AE355" i="2"/>
  <c r="AB356" i="2"/>
  <c r="AD356" i="2"/>
  <c r="AC356" i="2" s="1"/>
  <c r="AE356" i="2"/>
  <c r="V357" i="2"/>
  <c r="AB357" i="2"/>
  <c r="AD357" i="2"/>
  <c r="AC357" i="2" s="1"/>
  <c r="AE357" i="2"/>
  <c r="V358" i="2"/>
  <c r="AB358" i="2"/>
  <c r="AD358" i="2"/>
  <c r="AC358" i="2" s="1"/>
  <c r="AE358" i="2"/>
  <c r="V359" i="2"/>
  <c r="AB359" i="2"/>
  <c r="AD359" i="2"/>
  <c r="AC359" i="2" s="1"/>
  <c r="AE359" i="2"/>
  <c r="V360" i="2"/>
  <c r="AB360" i="2"/>
  <c r="AD360" i="2"/>
  <c r="AC360" i="2" s="1"/>
  <c r="AE360" i="2"/>
  <c r="AB361" i="2"/>
  <c r="AD361" i="2"/>
  <c r="AC361" i="2" s="1"/>
  <c r="AE361" i="2"/>
  <c r="V362" i="2"/>
  <c r="AB362" i="2"/>
  <c r="AD362" i="2"/>
  <c r="AC362" i="2" s="1"/>
  <c r="AE362" i="2"/>
  <c r="V363" i="2"/>
  <c r="AB363" i="2"/>
  <c r="AD363" i="2"/>
  <c r="AC363" i="2" s="1"/>
  <c r="AE363" i="2"/>
  <c r="AB364" i="2"/>
  <c r="AD364" i="2"/>
  <c r="AC364" i="2" s="1"/>
  <c r="AE364" i="2"/>
  <c r="V365" i="2"/>
  <c r="AB365" i="2"/>
  <c r="AD365" i="2"/>
  <c r="AC365" i="2" s="1"/>
  <c r="AE365" i="2"/>
  <c r="E366" i="2"/>
  <c r="G366" i="2"/>
  <c r="H366" i="2"/>
  <c r="J366" i="2"/>
  <c r="L366" i="2"/>
  <c r="M366" i="2"/>
  <c r="P366" i="2"/>
  <c r="S366" i="2"/>
  <c r="V366" i="2"/>
  <c r="AB366" i="2"/>
  <c r="AD366" i="2"/>
  <c r="AC366" i="2" s="1"/>
  <c r="AE366" i="2"/>
  <c r="V367" i="2"/>
  <c r="AB367" i="2"/>
  <c r="AD367" i="2"/>
  <c r="AC367" i="2" s="1"/>
  <c r="AE367" i="2"/>
  <c r="V368" i="2"/>
  <c r="AB368" i="2"/>
  <c r="AD368" i="2"/>
  <c r="AC368" i="2" s="1"/>
  <c r="AE368" i="2"/>
  <c r="V369" i="2"/>
  <c r="AA369" i="2"/>
  <c r="AB369" i="2"/>
  <c r="AD369" i="2"/>
  <c r="AC369" i="2" s="1"/>
  <c r="AE369" i="2"/>
  <c r="AB370" i="2"/>
  <c r="AD370" i="2"/>
  <c r="AC370" i="2" s="1"/>
  <c r="AE370" i="2"/>
  <c r="V371" i="2"/>
  <c r="AA371" i="2"/>
  <c r="AB371" i="2"/>
  <c r="AD371" i="2"/>
  <c r="AC371" i="2" s="1"/>
  <c r="AE371" i="2"/>
  <c r="AB372" i="2"/>
  <c r="AD372" i="2"/>
  <c r="AC372" i="2" s="1"/>
  <c r="AE372" i="2"/>
  <c r="V373" i="2"/>
  <c r="AB373" i="2"/>
  <c r="AD373" i="2"/>
  <c r="AC373" i="2" s="1"/>
  <c r="AE373" i="2"/>
  <c r="AB374" i="2"/>
  <c r="AD374" i="2"/>
  <c r="AC374" i="2" s="1"/>
  <c r="AE374" i="2"/>
  <c r="F375" i="2"/>
  <c r="H375" i="2"/>
  <c r="K375" i="2"/>
  <c r="AB375" i="2"/>
  <c r="AD375" i="2"/>
  <c r="AC375" i="2" s="1"/>
  <c r="AE375" i="2"/>
  <c r="E376" i="2"/>
  <c r="F376" i="2"/>
  <c r="G376" i="2"/>
  <c r="H376" i="2"/>
  <c r="I376" i="2"/>
  <c r="J376" i="2"/>
  <c r="M376" i="2"/>
  <c r="P376" i="2"/>
  <c r="Q376" i="2"/>
  <c r="V376" i="2"/>
  <c r="AB376" i="2"/>
  <c r="AD376" i="2"/>
  <c r="AC376" i="2" s="1"/>
  <c r="AE376" i="2"/>
  <c r="AB377" i="2"/>
  <c r="AD377" i="2"/>
  <c r="AC377" i="2" s="1"/>
  <c r="AE377" i="2"/>
  <c r="V378" i="2"/>
  <c r="AB378" i="2"/>
  <c r="AD378" i="2"/>
  <c r="AC378" i="2" s="1"/>
  <c r="AE378" i="2"/>
  <c r="E379" i="2"/>
  <c r="F379" i="2"/>
  <c r="H379" i="2"/>
  <c r="V379" i="2"/>
  <c r="AA379" i="2"/>
  <c r="AB379" i="2"/>
  <c r="AD379" i="2"/>
  <c r="AC379" i="2" s="1"/>
  <c r="AE379" i="2"/>
  <c r="K380" i="2"/>
  <c r="V380" i="2"/>
  <c r="AB380" i="2"/>
  <c r="AD380" i="2"/>
  <c r="AC380" i="2" s="1"/>
  <c r="AE380" i="2"/>
  <c r="AB381" i="2"/>
  <c r="AD381" i="2"/>
  <c r="AC381" i="2" s="1"/>
  <c r="AE381" i="2"/>
  <c r="E382" i="2"/>
  <c r="F382" i="2"/>
  <c r="G382" i="2"/>
  <c r="H382" i="2"/>
  <c r="P382" i="2"/>
  <c r="T382" i="2"/>
  <c r="V382" i="2"/>
  <c r="AB382" i="2"/>
  <c r="AD382" i="2"/>
  <c r="AC382" i="2" s="1"/>
  <c r="AE382" i="2"/>
  <c r="V383" i="2"/>
  <c r="AB383" i="2"/>
  <c r="AD383" i="2"/>
  <c r="AC383" i="2" s="1"/>
  <c r="AE383" i="2"/>
  <c r="AB6" i="1"/>
  <c r="AD6" i="1"/>
  <c r="AE6" i="1"/>
  <c r="AI6" i="1"/>
  <c r="AJ6" i="1"/>
  <c r="AK6" i="1"/>
  <c r="AB7" i="1"/>
  <c r="AD7" i="1"/>
  <c r="AE7" i="1"/>
  <c r="AI7" i="1"/>
  <c r="AJ7" i="1"/>
  <c r="AK7" i="1"/>
  <c r="AB8" i="1"/>
  <c r="AD8" i="1"/>
  <c r="AE8" i="1"/>
  <c r="AI8" i="1"/>
  <c r="AJ8" i="1"/>
  <c r="AK8" i="1"/>
  <c r="AB9" i="1"/>
  <c r="AD9" i="1"/>
  <c r="AE9" i="1"/>
  <c r="AI9" i="1"/>
  <c r="AJ9" i="1"/>
  <c r="AK9" i="1"/>
  <c r="AB10" i="1"/>
  <c r="AD10" i="1"/>
  <c r="AE10" i="1"/>
  <c r="AI10" i="1"/>
  <c r="AJ10" i="1"/>
  <c r="AK10" i="1"/>
  <c r="R11" i="1"/>
  <c r="AB11" i="1"/>
  <c r="AD11" i="1"/>
  <c r="AE11" i="1"/>
  <c r="AI11" i="1"/>
  <c r="AJ11" i="1"/>
  <c r="AK11" i="1"/>
  <c r="AB12" i="1"/>
  <c r="AD12" i="1"/>
  <c r="AE12" i="1"/>
  <c r="AI12" i="1"/>
  <c r="AJ12" i="1"/>
  <c r="AK12" i="1"/>
  <c r="AB13" i="1"/>
  <c r="AD13" i="1"/>
  <c r="AE13" i="1"/>
  <c r="AI13" i="1"/>
  <c r="AJ13" i="1"/>
  <c r="AK13" i="1"/>
  <c r="AB14" i="1"/>
  <c r="AD14" i="1"/>
  <c r="AE14" i="1"/>
  <c r="AI14" i="1"/>
  <c r="AJ14" i="1"/>
  <c r="AK14" i="1"/>
  <c r="AB15" i="1"/>
  <c r="AD15" i="1"/>
  <c r="AE15" i="1"/>
  <c r="AI15" i="1"/>
  <c r="AJ15" i="1"/>
  <c r="AK15" i="1"/>
  <c r="AB16" i="1"/>
  <c r="AD16" i="1"/>
  <c r="AE16" i="1"/>
  <c r="AI16" i="1"/>
  <c r="AJ16" i="1"/>
  <c r="AK16" i="1"/>
  <c r="AB17" i="1"/>
  <c r="AD17" i="1"/>
  <c r="AE17" i="1"/>
  <c r="AI17" i="1"/>
  <c r="AJ17" i="1"/>
  <c r="AK17" i="1"/>
  <c r="AB18" i="1"/>
  <c r="AD18" i="1"/>
  <c r="AE18" i="1"/>
  <c r="AI18" i="1"/>
  <c r="AJ18" i="1"/>
  <c r="AK18" i="1"/>
  <c r="AB19" i="1"/>
  <c r="AD19" i="1"/>
  <c r="AE19" i="1"/>
  <c r="AI19" i="1"/>
  <c r="AJ19" i="1"/>
  <c r="AK19" i="1"/>
  <c r="AB20" i="1"/>
  <c r="AD20" i="1"/>
  <c r="AE20" i="1"/>
  <c r="AI20" i="1"/>
  <c r="AJ20" i="1"/>
  <c r="AK20" i="1"/>
  <c r="AB21" i="1"/>
  <c r="AD21" i="1"/>
  <c r="AE21" i="1"/>
  <c r="AI21" i="1"/>
  <c r="AJ21" i="1"/>
  <c r="AK21" i="1"/>
  <c r="AB22" i="1"/>
  <c r="AD22" i="1"/>
  <c r="AE22" i="1"/>
  <c r="AI22" i="1"/>
  <c r="AJ22" i="1"/>
  <c r="AK22" i="1"/>
  <c r="AB23" i="1"/>
  <c r="AD23" i="1"/>
  <c r="AE23" i="1"/>
  <c r="AI23" i="1"/>
  <c r="AJ23" i="1"/>
  <c r="AK23" i="1"/>
  <c r="AB24" i="1"/>
  <c r="AD24" i="1"/>
  <c r="AE24" i="1"/>
  <c r="AI24" i="1"/>
  <c r="AJ24" i="1"/>
  <c r="AK24" i="1"/>
  <c r="AB25" i="1"/>
  <c r="AD25" i="1"/>
  <c r="AE25" i="1"/>
  <c r="AI25" i="1"/>
  <c r="AJ25" i="1"/>
  <c r="AK25" i="1"/>
  <c r="R26" i="1"/>
  <c r="AB26" i="1"/>
  <c r="AD26" i="1"/>
  <c r="AE26" i="1"/>
  <c r="AI26" i="1"/>
  <c r="AJ26" i="1"/>
  <c r="AK26" i="1"/>
  <c r="AB27" i="1"/>
  <c r="AD27" i="1"/>
  <c r="AE27" i="1"/>
  <c r="AI27" i="1"/>
  <c r="AJ27" i="1"/>
  <c r="AK27" i="1"/>
  <c r="AB28" i="1"/>
  <c r="AD28" i="1"/>
  <c r="AE28" i="1"/>
  <c r="AI28" i="1"/>
  <c r="AJ28" i="1"/>
  <c r="AK28" i="1"/>
  <c r="AB29" i="1"/>
  <c r="AD29" i="1"/>
  <c r="AE29" i="1"/>
  <c r="AI29" i="1"/>
  <c r="AJ29" i="1"/>
  <c r="AK29" i="1"/>
  <c r="R30" i="1"/>
  <c r="AB30" i="1"/>
  <c r="AD30" i="1"/>
  <c r="AE30" i="1"/>
  <c r="AI30" i="1"/>
  <c r="AJ30" i="1"/>
  <c r="AK30" i="1"/>
  <c r="F31" i="1"/>
  <c r="AB31" i="1"/>
  <c r="AD31" i="1"/>
  <c r="AE31" i="1"/>
  <c r="AI31" i="1"/>
  <c r="AJ31" i="1"/>
  <c r="AK31" i="1"/>
  <c r="AB32" i="1"/>
  <c r="AD32" i="1"/>
  <c r="AE32" i="1"/>
  <c r="AI32" i="1"/>
  <c r="AJ32" i="1"/>
  <c r="AK32" i="1"/>
  <c r="AB33" i="1"/>
  <c r="AD33" i="1"/>
  <c r="AE33" i="1"/>
  <c r="AI33" i="1"/>
  <c r="AJ33" i="1"/>
  <c r="AK33" i="1"/>
  <c r="E34" i="1"/>
  <c r="AB34" i="1"/>
  <c r="AD34" i="1"/>
  <c r="AE34" i="1"/>
  <c r="AI34" i="1"/>
  <c r="AJ34" i="1"/>
  <c r="AK34" i="1"/>
  <c r="AB35" i="1"/>
  <c r="AD35" i="1"/>
  <c r="AE35" i="1"/>
  <c r="AI35" i="1"/>
  <c r="AJ35" i="1"/>
  <c r="AK35" i="1"/>
  <c r="AB36" i="1"/>
  <c r="AD36" i="1"/>
  <c r="AE36" i="1"/>
  <c r="AI36" i="1"/>
  <c r="AJ36" i="1"/>
  <c r="AK36" i="1"/>
  <c r="AB37" i="1"/>
  <c r="AD37" i="1"/>
  <c r="AE37" i="1"/>
  <c r="AI37" i="1"/>
  <c r="AJ37" i="1"/>
  <c r="AK37" i="1"/>
  <c r="AB38" i="1"/>
  <c r="AD38" i="1"/>
  <c r="AE38" i="1"/>
  <c r="AI38" i="1"/>
  <c r="AJ38" i="1"/>
  <c r="AK38" i="1"/>
  <c r="AB39" i="1"/>
  <c r="AD39" i="1"/>
  <c r="AE39" i="1"/>
  <c r="AI39" i="1"/>
  <c r="AJ39" i="1"/>
  <c r="AK39" i="1"/>
  <c r="AB40" i="1"/>
  <c r="AD40" i="1"/>
  <c r="AE40" i="1"/>
  <c r="AI40" i="1"/>
  <c r="AJ40" i="1"/>
  <c r="AK40" i="1"/>
  <c r="AB41" i="1"/>
  <c r="AD41" i="1"/>
  <c r="AE41" i="1"/>
  <c r="AI41" i="1"/>
  <c r="AJ41" i="1"/>
  <c r="AK41" i="1"/>
  <c r="AB42" i="1"/>
  <c r="AD42" i="1"/>
  <c r="AE42" i="1"/>
  <c r="AI42" i="1"/>
  <c r="AJ42" i="1"/>
  <c r="AK42" i="1"/>
  <c r="AB43" i="1"/>
  <c r="AD43" i="1"/>
  <c r="AE43" i="1"/>
  <c r="AI43" i="1"/>
  <c r="AJ43" i="1"/>
  <c r="AK43" i="1"/>
  <c r="AB44" i="1"/>
  <c r="AD44" i="1"/>
  <c r="AE44" i="1"/>
  <c r="AI44" i="1"/>
  <c r="AJ44" i="1"/>
  <c r="AK44" i="1"/>
  <c r="AB45" i="1"/>
  <c r="AD45" i="1"/>
  <c r="AE45" i="1"/>
  <c r="AI45" i="1"/>
  <c r="AJ45" i="1"/>
  <c r="AK45" i="1"/>
  <c r="AB46" i="1"/>
  <c r="AD46" i="1"/>
  <c r="AE46" i="1"/>
  <c r="AI46" i="1"/>
  <c r="AJ46" i="1"/>
  <c r="AK46" i="1"/>
  <c r="AB47" i="1"/>
  <c r="AD47" i="1"/>
  <c r="AE47" i="1"/>
  <c r="AI47" i="1"/>
  <c r="AJ47" i="1"/>
  <c r="AK47" i="1"/>
  <c r="AB48" i="1"/>
  <c r="AD48" i="1"/>
  <c r="AE48" i="1"/>
  <c r="AI48" i="1"/>
  <c r="AJ48" i="1"/>
  <c r="AK48" i="1"/>
  <c r="AB49" i="1"/>
  <c r="AD49" i="1"/>
  <c r="AE49" i="1"/>
  <c r="AI49" i="1"/>
  <c r="AJ49" i="1"/>
  <c r="AK49" i="1"/>
  <c r="R50" i="1"/>
  <c r="AB50" i="1"/>
  <c r="AD50" i="1"/>
  <c r="AE50" i="1"/>
  <c r="AI50" i="1"/>
  <c r="AJ50" i="1"/>
  <c r="AK50" i="1"/>
  <c r="AB51" i="1"/>
  <c r="AD51" i="1"/>
  <c r="AE51" i="1"/>
  <c r="AI51" i="1"/>
  <c r="AJ51" i="1"/>
  <c r="AK51" i="1"/>
  <c r="AB52" i="1"/>
  <c r="AD52" i="1"/>
  <c r="AE52" i="1"/>
  <c r="AI52" i="1"/>
  <c r="AJ52" i="1"/>
  <c r="AK52" i="1"/>
  <c r="R53" i="1"/>
  <c r="AB53" i="1"/>
  <c r="AD53" i="1"/>
  <c r="AE53" i="1"/>
  <c r="AI53" i="1"/>
  <c r="AJ53" i="1"/>
  <c r="AK53" i="1"/>
  <c r="E54" i="1"/>
  <c r="AB54" i="1"/>
  <c r="AD54" i="1"/>
  <c r="AE54" i="1"/>
  <c r="AI54" i="1"/>
  <c r="AJ54" i="1"/>
  <c r="AK54" i="1"/>
  <c r="AB55" i="1"/>
  <c r="AD55" i="1"/>
  <c r="AE55" i="1"/>
  <c r="AI55" i="1"/>
  <c r="AJ55" i="1"/>
  <c r="AK55" i="1"/>
  <c r="AB56" i="1"/>
  <c r="AD56" i="1"/>
  <c r="AE56" i="1"/>
  <c r="AI56" i="1"/>
  <c r="AJ56" i="1"/>
  <c r="AK56" i="1"/>
  <c r="AB57" i="1"/>
  <c r="AD57" i="1"/>
  <c r="AE57" i="1"/>
  <c r="AI57" i="1"/>
  <c r="AJ57" i="1"/>
  <c r="AK57" i="1"/>
  <c r="F58" i="1"/>
  <c r="AB58" i="1"/>
  <c r="AD58" i="1"/>
  <c r="AE58" i="1"/>
  <c r="AI58" i="1"/>
  <c r="AJ58" i="1"/>
  <c r="AK58" i="1"/>
  <c r="AB59" i="1"/>
  <c r="AD59" i="1"/>
  <c r="AE59" i="1"/>
  <c r="AI59" i="1"/>
  <c r="AJ59" i="1"/>
  <c r="AK59" i="1"/>
  <c r="G60" i="1"/>
  <c r="AB60" i="1"/>
  <c r="AD60" i="1"/>
  <c r="AE60" i="1"/>
  <c r="AI60" i="1"/>
  <c r="AJ60" i="1"/>
  <c r="AK60" i="1"/>
  <c r="AB61" i="1"/>
  <c r="AD61" i="1"/>
  <c r="AE61" i="1"/>
  <c r="AI61" i="1"/>
  <c r="AJ61" i="1"/>
  <c r="AK61" i="1"/>
  <c r="AB62" i="1"/>
  <c r="AD62" i="1"/>
  <c r="AE62" i="1"/>
  <c r="AI62" i="1"/>
  <c r="AJ62" i="1"/>
  <c r="AK62" i="1"/>
  <c r="AB63" i="1"/>
  <c r="AD63" i="1"/>
  <c r="AE63" i="1"/>
  <c r="AI63" i="1"/>
  <c r="AJ63" i="1"/>
  <c r="AK63" i="1"/>
  <c r="AB64" i="1"/>
  <c r="AD64" i="1"/>
  <c r="AE64" i="1"/>
  <c r="AI64" i="1"/>
  <c r="AJ64" i="1"/>
  <c r="AK64" i="1"/>
  <c r="F65" i="1"/>
  <c r="AB65" i="1"/>
  <c r="AD65" i="1"/>
  <c r="AE65" i="1"/>
  <c r="AI65" i="1"/>
  <c r="AJ65" i="1"/>
  <c r="AK65" i="1"/>
  <c r="AB66" i="1"/>
  <c r="AD66" i="1"/>
  <c r="AE66" i="1"/>
  <c r="AI66" i="1"/>
  <c r="AJ66" i="1"/>
  <c r="AK66" i="1"/>
  <c r="AB67" i="1"/>
  <c r="AD67" i="1"/>
  <c r="AE67" i="1"/>
  <c r="AI67" i="1"/>
  <c r="AJ67" i="1"/>
  <c r="AK67" i="1"/>
  <c r="AB68" i="1"/>
  <c r="AD68" i="1"/>
  <c r="AE68" i="1"/>
  <c r="AI68" i="1"/>
  <c r="AJ68" i="1"/>
  <c r="AK68" i="1"/>
  <c r="AB69" i="1"/>
  <c r="AD69" i="1"/>
  <c r="AE69" i="1"/>
  <c r="AI69" i="1"/>
  <c r="AJ69" i="1"/>
  <c r="AK69" i="1"/>
  <c r="AB70" i="1"/>
  <c r="AD70" i="1"/>
  <c r="AE70" i="1"/>
  <c r="AI70" i="1"/>
  <c r="AJ70" i="1"/>
  <c r="AK70" i="1"/>
  <c r="E71" i="1"/>
  <c r="R71" i="1"/>
  <c r="AB71" i="1"/>
  <c r="AD71" i="1"/>
  <c r="AE71" i="1"/>
  <c r="AI71" i="1"/>
  <c r="AJ71" i="1"/>
  <c r="AK71" i="1"/>
  <c r="AB72" i="1"/>
  <c r="AD72" i="1"/>
  <c r="AE72" i="1"/>
  <c r="AI72" i="1"/>
  <c r="AJ72" i="1"/>
  <c r="AK72" i="1"/>
  <c r="R73" i="1"/>
  <c r="AB73" i="1"/>
  <c r="AD73" i="1"/>
  <c r="AE73" i="1"/>
  <c r="AI73" i="1"/>
  <c r="AJ73" i="1"/>
  <c r="AK73" i="1"/>
  <c r="AB74" i="1"/>
  <c r="AD74" i="1"/>
  <c r="AE74" i="1"/>
  <c r="AI74" i="1"/>
  <c r="AJ74" i="1"/>
  <c r="AK74" i="1"/>
  <c r="AB75" i="1"/>
  <c r="AD75" i="1"/>
  <c r="AE75" i="1"/>
  <c r="AI75" i="1"/>
  <c r="AJ75" i="1"/>
  <c r="AK75" i="1"/>
  <c r="AB76" i="1"/>
  <c r="AD76" i="1"/>
  <c r="AE76" i="1"/>
  <c r="AI76" i="1"/>
  <c r="AJ76" i="1"/>
  <c r="AK76" i="1"/>
  <c r="E77" i="1"/>
  <c r="AB77" i="1"/>
  <c r="AD77" i="1"/>
  <c r="AE77" i="1"/>
  <c r="AI77" i="1"/>
  <c r="AJ77" i="1"/>
  <c r="AK77" i="1"/>
  <c r="AB78" i="1"/>
  <c r="AD78" i="1"/>
  <c r="AE78" i="1"/>
  <c r="AI78" i="1"/>
  <c r="AJ78" i="1"/>
  <c r="AK78" i="1"/>
  <c r="AB79" i="1"/>
  <c r="AD79" i="1"/>
  <c r="AE79" i="1"/>
  <c r="AI79" i="1"/>
  <c r="AJ79" i="1"/>
  <c r="AK79" i="1"/>
  <c r="R80" i="1"/>
  <c r="AB80" i="1"/>
  <c r="AD80" i="1"/>
  <c r="AE80" i="1"/>
  <c r="AI80" i="1"/>
  <c r="AJ80" i="1"/>
  <c r="AK80" i="1"/>
  <c r="E81" i="1"/>
  <c r="AB81" i="1"/>
  <c r="AD81" i="1"/>
  <c r="AE81" i="1"/>
  <c r="AI81" i="1"/>
  <c r="AJ81" i="1"/>
  <c r="AK81" i="1"/>
  <c r="Z82" i="1"/>
  <c r="AB82" i="1"/>
  <c r="AD82" i="1"/>
  <c r="AE82" i="1"/>
  <c r="AI82" i="1"/>
  <c r="AJ82" i="1"/>
  <c r="AK82" i="1"/>
  <c r="AB83" i="1"/>
  <c r="AD83" i="1"/>
  <c r="AE83" i="1"/>
  <c r="AI83" i="1"/>
  <c r="AJ83" i="1"/>
  <c r="AK83" i="1"/>
  <c r="AB84" i="1"/>
  <c r="AD84" i="1"/>
  <c r="AE84" i="1"/>
  <c r="AI84" i="1"/>
  <c r="AJ84" i="1"/>
  <c r="AK84" i="1"/>
  <c r="E85" i="1"/>
  <c r="F85" i="1"/>
  <c r="R85" i="1"/>
  <c r="AB85" i="1"/>
  <c r="AD85" i="1"/>
  <c r="AE85" i="1"/>
  <c r="AI85" i="1"/>
  <c r="AJ85" i="1"/>
  <c r="AK85" i="1"/>
  <c r="AB86" i="1"/>
  <c r="AD86" i="1"/>
  <c r="AE86" i="1"/>
  <c r="AI86" i="1"/>
  <c r="AJ86" i="1"/>
  <c r="AK86" i="1"/>
  <c r="AB87" i="1"/>
  <c r="AD87" i="1"/>
  <c r="AE87" i="1"/>
  <c r="AI87" i="1"/>
  <c r="AJ87" i="1"/>
  <c r="AK87" i="1"/>
  <c r="AB88" i="1"/>
  <c r="AD88" i="1"/>
  <c r="AE88" i="1"/>
  <c r="AI88" i="1"/>
  <c r="AJ88" i="1"/>
  <c r="AK88" i="1"/>
  <c r="AB89" i="1"/>
  <c r="AD89" i="1"/>
  <c r="AE89" i="1"/>
  <c r="AI89" i="1"/>
  <c r="AJ89" i="1"/>
  <c r="AK89" i="1"/>
  <c r="AB90" i="1"/>
  <c r="AD90" i="1"/>
  <c r="AE90" i="1"/>
  <c r="AI90" i="1"/>
  <c r="AJ90" i="1"/>
  <c r="AK90" i="1"/>
  <c r="AB91" i="1"/>
  <c r="AD91" i="1"/>
  <c r="AE91" i="1"/>
  <c r="AI91" i="1"/>
  <c r="AJ91" i="1"/>
  <c r="AK91" i="1"/>
  <c r="AB92" i="1"/>
  <c r="AD92" i="1"/>
  <c r="AE92" i="1"/>
  <c r="AI92" i="1"/>
  <c r="AJ92" i="1"/>
  <c r="AK92" i="1"/>
  <c r="AB93" i="1"/>
  <c r="AD93" i="1"/>
  <c r="AE93" i="1"/>
  <c r="AI93" i="1"/>
  <c r="AJ93" i="1"/>
  <c r="AK93" i="1"/>
  <c r="AB94" i="1"/>
  <c r="AD94" i="1"/>
  <c r="AE94" i="1"/>
  <c r="AI94" i="1"/>
  <c r="AJ94" i="1"/>
  <c r="AK94" i="1"/>
  <c r="AB95" i="1"/>
  <c r="AD95" i="1"/>
  <c r="AE95" i="1"/>
  <c r="AI95" i="1"/>
  <c r="AJ95" i="1"/>
  <c r="AK95" i="1"/>
  <c r="AB96" i="1"/>
  <c r="AD96" i="1"/>
  <c r="AE96" i="1"/>
  <c r="AI96" i="1"/>
  <c r="AJ96" i="1"/>
  <c r="AK96" i="1"/>
  <c r="AB97" i="1"/>
  <c r="AD97" i="1"/>
  <c r="AE97" i="1"/>
  <c r="AI97" i="1"/>
  <c r="AJ97" i="1"/>
  <c r="AK97" i="1"/>
  <c r="AB98" i="1"/>
  <c r="AD98" i="1"/>
  <c r="AE98" i="1"/>
  <c r="AI98" i="1"/>
  <c r="AJ98" i="1"/>
  <c r="AK98" i="1"/>
  <c r="AB99" i="1"/>
  <c r="AD99" i="1"/>
  <c r="AE99" i="1"/>
  <c r="AI99" i="1"/>
  <c r="AJ99" i="1"/>
  <c r="AK99" i="1"/>
  <c r="AB100" i="1"/>
  <c r="AD100" i="1"/>
  <c r="AE100" i="1"/>
  <c r="AI100" i="1"/>
  <c r="AJ100" i="1"/>
  <c r="AK100" i="1"/>
  <c r="AB101" i="1"/>
  <c r="AD101" i="1"/>
  <c r="AE101" i="1"/>
  <c r="AI101" i="1"/>
  <c r="AJ101" i="1"/>
  <c r="AK101" i="1"/>
  <c r="E102" i="1"/>
  <c r="G102" i="1"/>
  <c r="R102" i="1"/>
  <c r="AB102" i="1"/>
  <c r="AD102" i="1"/>
  <c r="AE102" i="1"/>
  <c r="AI102" i="1"/>
  <c r="AJ102" i="1"/>
  <c r="AK102" i="1"/>
  <c r="AB103" i="1"/>
  <c r="AD103" i="1"/>
  <c r="AE103" i="1"/>
  <c r="AI103" i="1"/>
  <c r="AJ103" i="1"/>
  <c r="AK103" i="1"/>
  <c r="AB104" i="1"/>
  <c r="AD104" i="1"/>
  <c r="AE104" i="1"/>
  <c r="AI104" i="1"/>
  <c r="AJ104" i="1"/>
  <c r="AK104" i="1"/>
  <c r="AB105" i="1"/>
  <c r="AD105" i="1"/>
  <c r="AE105" i="1"/>
  <c r="AI105" i="1"/>
  <c r="AJ105" i="1"/>
  <c r="AK105" i="1"/>
  <c r="AB106" i="1"/>
  <c r="AD106" i="1"/>
  <c r="AE106" i="1"/>
  <c r="AI106" i="1"/>
  <c r="AJ106" i="1"/>
  <c r="AK106" i="1"/>
  <c r="R107" i="1"/>
  <c r="AB107" i="1"/>
  <c r="AD107" i="1"/>
  <c r="AE107" i="1"/>
  <c r="AI107" i="1"/>
  <c r="AJ107" i="1"/>
  <c r="AK107" i="1"/>
  <c r="AB108" i="1"/>
  <c r="AD108" i="1"/>
  <c r="AE108" i="1"/>
  <c r="AI108" i="1"/>
  <c r="AJ108" i="1"/>
  <c r="AK108" i="1"/>
  <c r="AB109" i="1"/>
  <c r="AD109" i="1"/>
  <c r="AE109" i="1"/>
  <c r="AI109" i="1"/>
  <c r="AJ109" i="1"/>
  <c r="AK109" i="1"/>
  <c r="AB110" i="1"/>
  <c r="AD110" i="1"/>
  <c r="AE110" i="1"/>
  <c r="AI110" i="1"/>
  <c r="AJ110" i="1"/>
  <c r="AK110" i="1"/>
  <c r="AB111" i="1"/>
  <c r="AD111" i="1"/>
  <c r="AE111" i="1"/>
  <c r="AI111" i="1"/>
  <c r="AJ111" i="1"/>
  <c r="AK111" i="1"/>
  <c r="F112" i="1"/>
  <c r="AK112" i="1" s="1"/>
  <c r="AB112" i="1"/>
  <c r="AD112" i="1"/>
  <c r="AE112" i="1"/>
  <c r="AI112" i="1"/>
  <c r="AJ112" i="1"/>
  <c r="AB113" i="1"/>
  <c r="AD113" i="1"/>
  <c r="AE113" i="1"/>
  <c r="AI113" i="1"/>
  <c r="AJ113" i="1"/>
  <c r="AK113" i="1"/>
  <c r="AB114" i="1"/>
  <c r="AD114" i="1"/>
  <c r="AE114" i="1"/>
  <c r="AI114" i="1"/>
  <c r="AJ114" i="1"/>
  <c r="AK114" i="1"/>
  <c r="AB115" i="1"/>
  <c r="AD115" i="1"/>
  <c r="AE115" i="1"/>
  <c r="AI115" i="1"/>
  <c r="AJ115" i="1"/>
  <c r="AK115" i="1"/>
  <c r="AB116" i="1"/>
  <c r="AD116" i="1"/>
  <c r="AE116" i="1"/>
  <c r="AI116" i="1"/>
  <c r="AJ116" i="1"/>
  <c r="AK116" i="1"/>
  <c r="F117" i="1"/>
  <c r="AB117" i="1"/>
  <c r="AD117" i="1"/>
  <c r="AE117" i="1"/>
  <c r="AI117" i="1"/>
  <c r="AJ117" i="1"/>
  <c r="AK117" i="1"/>
  <c r="AB118" i="1"/>
  <c r="AD118" i="1"/>
  <c r="AE118" i="1"/>
  <c r="AI118" i="1"/>
  <c r="AJ118" i="1"/>
  <c r="AK118" i="1"/>
  <c r="AB119" i="1"/>
  <c r="AD119" i="1"/>
  <c r="AE119" i="1"/>
  <c r="AI119" i="1"/>
  <c r="AJ119" i="1"/>
  <c r="AK119" i="1"/>
  <c r="AB120" i="1"/>
  <c r="AD120" i="1"/>
  <c r="AE120" i="1"/>
  <c r="AI120" i="1"/>
  <c r="AJ120" i="1"/>
  <c r="AK120" i="1"/>
  <c r="AB121" i="1"/>
  <c r="AD121" i="1"/>
  <c r="AE121" i="1"/>
  <c r="AI121" i="1"/>
  <c r="AJ121" i="1"/>
  <c r="AK121" i="1"/>
  <c r="AB122" i="1"/>
  <c r="AD122" i="1"/>
  <c r="AE122" i="1"/>
  <c r="AK122" i="1"/>
  <c r="AB123" i="1"/>
  <c r="AD123" i="1"/>
  <c r="AE123" i="1"/>
  <c r="AI123" i="1"/>
  <c r="AJ123" i="1"/>
  <c r="AK123" i="1"/>
  <c r="AB124" i="1"/>
  <c r="AD124" i="1"/>
  <c r="AE124" i="1"/>
  <c r="AI124" i="1"/>
  <c r="AJ124" i="1"/>
  <c r="AK124" i="1"/>
  <c r="AB125" i="1"/>
  <c r="AD125" i="1"/>
  <c r="AE125" i="1"/>
  <c r="AI125" i="1"/>
  <c r="AJ125" i="1"/>
  <c r="AK125" i="1"/>
  <c r="AB126" i="1"/>
  <c r="AD126" i="1"/>
  <c r="AE126" i="1"/>
  <c r="AI126" i="1"/>
  <c r="AJ126" i="1"/>
  <c r="AK126" i="1"/>
  <c r="R127" i="1"/>
  <c r="AB127" i="1"/>
  <c r="AD127" i="1"/>
  <c r="AE127" i="1"/>
  <c r="AI127" i="1"/>
  <c r="AJ127" i="1"/>
  <c r="AK127" i="1"/>
  <c r="AB128" i="1"/>
  <c r="AD128" i="1"/>
  <c r="AE128" i="1"/>
  <c r="AI128" i="1"/>
  <c r="AJ128" i="1"/>
  <c r="AK128" i="1"/>
  <c r="AB129" i="1"/>
  <c r="AD129" i="1"/>
  <c r="AE129" i="1"/>
  <c r="AI129" i="1"/>
  <c r="AJ129" i="1"/>
  <c r="AK129" i="1"/>
  <c r="AB130" i="1"/>
  <c r="AD130" i="1"/>
  <c r="AE130" i="1"/>
  <c r="AI130" i="1"/>
  <c r="AJ130" i="1"/>
  <c r="AK130" i="1"/>
  <c r="AB131" i="1"/>
  <c r="AD131" i="1"/>
  <c r="AE131" i="1"/>
  <c r="AI131" i="1"/>
  <c r="AJ131" i="1"/>
  <c r="AK131" i="1"/>
  <c r="Z132" i="1"/>
  <c r="AB132" i="1"/>
  <c r="AD132" i="1"/>
  <c r="AE132" i="1"/>
  <c r="AI132" i="1"/>
  <c r="AJ132" i="1"/>
  <c r="AK132" i="1"/>
  <c r="AB133" i="1"/>
  <c r="AD133" i="1"/>
  <c r="AE133" i="1"/>
  <c r="AI133" i="1"/>
  <c r="AJ133" i="1"/>
  <c r="AK133" i="1"/>
  <c r="AB134" i="1"/>
  <c r="AD134" i="1"/>
  <c r="AE134" i="1"/>
  <c r="AI134" i="1"/>
  <c r="AJ134" i="1"/>
  <c r="AK134" i="1"/>
  <c r="Z135" i="1"/>
  <c r="AB135" i="1"/>
  <c r="AD135" i="1"/>
  <c r="AE135" i="1"/>
  <c r="AI135" i="1"/>
  <c r="AJ135" i="1"/>
  <c r="AK135" i="1"/>
  <c r="AB136" i="1"/>
  <c r="AD136" i="1"/>
  <c r="AE136" i="1"/>
  <c r="AI136" i="1"/>
  <c r="AJ136" i="1" s="1"/>
  <c r="AK136" i="1"/>
  <c r="AB137" i="1"/>
  <c r="AD137" i="1"/>
  <c r="AE137" i="1"/>
  <c r="AI137" i="1"/>
  <c r="AJ137" i="1"/>
  <c r="AK137" i="1"/>
  <c r="AB138" i="1"/>
  <c r="AD138" i="1"/>
  <c r="AE138" i="1" s="1"/>
  <c r="AI138" i="1"/>
  <c r="AJ138" i="1" s="1"/>
  <c r="AK138" i="1"/>
  <c r="F139" i="1"/>
  <c r="AB139" i="1"/>
  <c r="AD139" i="1"/>
  <c r="AE139" i="1" s="1"/>
  <c r="AI139" i="1"/>
  <c r="AJ139" i="1"/>
  <c r="AK139" i="1"/>
  <c r="AB140" i="1"/>
  <c r="AD140" i="1" s="1"/>
  <c r="AE140" i="1" s="1"/>
  <c r="AI140" i="1"/>
  <c r="AJ140" i="1"/>
  <c r="AK140" i="1"/>
  <c r="AB141" i="1"/>
  <c r="AD141" i="1"/>
  <c r="AE141" i="1" s="1"/>
  <c r="AI141" i="1"/>
  <c r="AJ141" i="1"/>
  <c r="AK141" i="1"/>
  <c r="AB142" i="1"/>
  <c r="AD142" i="1"/>
  <c r="AE142" i="1" s="1"/>
  <c r="AI142" i="1"/>
  <c r="AJ142" i="1"/>
  <c r="AK142" i="1"/>
  <c r="E143" i="1"/>
  <c r="F143" i="1"/>
  <c r="G143" i="1"/>
  <c r="H143" i="1"/>
  <c r="S143" i="1"/>
  <c r="AB143" i="1"/>
  <c r="AI143" i="1"/>
  <c r="AJ143" i="1" s="1"/>
  <c r="AK143" i="1"/>
  <c r="AB144" i="1"/>
  <c r="AD144" i="1"/>
  <c r="AE144" i="1" s="1"/>
  <c r="AI144" i="1"/>
  <c r="AJ144" i="1"/>
  <c r="AK144" i="1"/>
  <c r="AB145" i="1"/>
  <c r="AD145" i="1"/>
  <c r="AE145" i="1" s="1"/>
  <c r="AI145" i="1"/>
  <c r="AJ145" i="1" s="1"/>
  <c r="AK145" i="1"/>
  <c r="AB146" i="1"/>
  <c r="AD146" i="1"/>
  <c r="AE146" i="1" s="1"/>
  <c r="AI146" i="1"/>
  <c r="AJ146" i="1" s="1"/>
  <c r="AK146" i="1"/>
  <c r="AB147" i="1"/>
  <c r="AD147" i="1"/>
  <c r="AE147" i="1" s="1"/>
  <c r="AI147" i="1"/>
  <c r="AJ147" i="1" s="1"/>
  <c r="AK147" i="1"/>
  <c r="AB148" i="1"/>
  <c r="AD148" i="1" s="1"/>
  <c r="AE148" i="1" s="1"/>
  <c r="AI148" i="1"/>
  <c r="AJ148" i="1" s="1"/>
  <c r="AK148" i="1"/>
  <c r="AB149" i="1"/>
  <c r="AD149" i="1" s="1"/>
  <c r="AE149" i="1" s="1"/>
  <c r="AI149" i="1"/>
  <c r="AJ149" i="1"/>
  <c r="AK149" i="1"/>
  <c r="AB150" i="1"/>
  <c r="AD150" i="1"/>
  <c r="AE150" i="1" s="1"/>
  <c r="AI150" i="1"/>
  <c r="AJ150" i="1"/>
  <c r="AK150" i="1"/>
  <c r="AB151" i="1"/>
  <c r="AD151" i="1" s="1"/>
  <c r="AE151" i="1" s="1"/>
  <c r="AI151" i="1"/>
  <c r="AJ151" i="1"/>
  <c r="AK151" i="1"/>
  <c r="J152" i="1"/>
  <c r="AB152" i="1"/>
  <c r="AD152" i="1"/>
  <c r="AE152" i="1" s="1"/>
  <c r="AI152" i="1"/>
  <c r="AJ152" i="1"/>
  <c r="AK152" i="1"/>
  <c r="AB153" i="1"/>
  <c r="AD153" i="1"/>
  <c r="AE153" i="1" s="1"/>
  <c r="AI153" i="1"/>
  <c r="AJ153" i="1" s="1"/>
  <c r="AK153" i="1"/>
  <c r="AB154" i="1"/>
  <c r="AD154" i="1"/>
  <c r="AE154" i="1"/>
  <c r="AI154" i="1"/>
  <c r="AJ154" i="1"/>
  <c r="AK154" i="1"/>
  <c r="AB155" i="1"/>
  <c r="AD155" i="1"/>
  <c r="AE155" i="1" s="1"/>
  <c r="AI155" i="1"/>
  <c r="AJ155" i="1"/>
  <c r="AK155" i="1"/>
  <c r="AB156" i="1"/>
  <c r="AD156" i="1"/>
  <c r="AE156" i="1"/>
  <c r="AI156" i="1"/>
  <c r="AJ156" i="1" s="1"/>
  <c r="AK156" i="1"/>
  <c r="AB157" i="1"/>
  <c r="AD157" i="1" s="1"/>
  <c r="AE157" i="1" s="1"/>
  <c r="AI157" i="1"/>
  <c r="AJ157" i="1" s="1"/>
  <c r="AK157" i="1"/>
  <c r="AB158" i="1"/>
  <c r="AD158" i="1"/>
  <c r="AE158" i="1" s="1"/>
  <c r="AI158" i="1"/>
  <c r="AJ158" i="1"/>
  <c r="AK158" i="1"/>
  <c r="AB159" i="1"/>
  <c r="AD159" i="1" s="1"/>
  <c r="AE159" i="1" s="1"/>
  <c r="AI159" i="1"/>
  <c r="AJ159" i="1" s="1"/>
  <c r="AK159" i="1"/>
  <c r="AB160" i="1"/>
  <c r="AD160" i="1"/>
  <c r="AE160" i="1"/>
  <c r="AI160" i="1"/>
  <c r="AJ160" i="1"/>
  <c r="AK160" i="1"/>
  <c r="AB161" i="1"/>
  <c r="AD161" i="1"/>
  <c r="AE161" i="1" s="1"/>
  <c r="AI161" i="1"/>
  <c r="AJ161" i="1"/>
  <c r="AK161" i="1"/>
  <c r="AB162" i="1"/>
  <c r="AD162" i="1"/>
  <c r="AE162" i="1" s="1"/>
  <c r="AI162" i="1"/>
  <c r="AJ162" i="1" s="1"/>
  <c r="AK162" i="1"/>
  <c r="AB163" i="1"/>
  <c r="AD163" i="1"/>
  <c r="AE163" i="1"/>
  <c r="AI163" i="1"/>
  <c r="AJ163" i="1"/>
  <c r="AK163" i="1"/>
  <c r="AB164" i="1"/>
  <c r="AD164" i="1"/>
  <c r="AE164" i="1" s="1"/>
  <c r="AI164" i="1"/>
  <c r="AJ164" i="1" s="1"/>
  <c r="AK164" i="1"/>
  <c r="R165" i="1"/>
  <c r="AB165" i="1"/>
  <c r="AD165" i="1"/>
  <c r="AE165" i="1" s="1"/>
  <c r="AI165" i="1"/>
  <c r="AJ165" i="1"/>
  <c r="AK165" i="1"/>
  <c r="AB166" i="1"/>
  <c r="AD166" i="1"/>
  <c r="AE166" i="1"/>
  <c r="AI166" i="1"/>
  <c r="AJ166" i="1"/>
  <c r="AK166" i="1"/>
  <c r="AB167" i="1"/>
  <c r="AD167" i="1"/>
  <c r="AE167" i="1" s="1"/>
  <c r="AI167" i="1"/>
  <c r="AJ167" i="1"/>
  <c r="AK167" i="1"/>
  <c r="AB168" i="1"/>
  <c r="AD168" i="1" s="1"/>
  <c r="AE168" i="1" s="1"/>
  <c r="AI168" i="1"/>
  <c r="AJ168" i="1" s="1"/>
  <c r="AK168" i="1"/>
  <c r="AB169" i="1"/>
  <c r="AD169" i="1"/>
  <c r="AE169" i="1" s="1"/>
  <c r="AI169" i="1"/>
  <c r="AJ169" i="1"/>
  <c r="AK169" i="1"/>
  <c r="AB170" i="1"/>
  <c r="AD170" i="1"/>
  <c r="AE170" i="1"/>
  <c r="AI170" i="1"/>
  <c r="AJ170" i="1"/>
  <c r="AK170" i="1"/>
  <c r="Z171" i="1"/>
  <c r="AB171" i="1"/>
  <c r="AD171" i="1"/>
  <c r="AE171" i="1" s="1"/>
  <c r="AI171" i="1"/>
  <c r="AJ171" i="1" s="1"/>
  <c r="AK171" i="1"/>
  <c r="AB172" i="1"/>
  <c r="AD172" i="1"/>
  <c r="AE172" i="1"/>
  <c r="AI172" i="1"/>
  <c r="AJ172" i="1"/>
  <c r="AK172" i="1"/>
  <c r="AB173" i="1"/>
  <c r="AD173" i="1"/>
  <c r="AE173" i="1" s="1"/>
  <c r="AI173" i="1"/>
  <c r="AJ173" i="1"/>
  <c r="AK173" i="1"/>
  <c r="AB174" i="1"/>
  <c r="AD174" i="1"/>
  <c r="AE174" i="1" s="1"/>
  <c r="AI174" i="1"/>
  <c r="AJ174" i="1"/>
  <c r="AK174" i="1"/>
  <c r="AB175" i="1"/>
  <c r="AD175" i="1"/>
  <c r="AE175" i="1" s="1"/>
  <c r="AI175" i="1"/>
  <c r="AJ175" i="1"/>
  <c r="AK175" i="1"/>
  <c r="AB176" i="1"/>
  <c r="AD176" i="1"/>
  <c r="AE176" i="1"/>
  <c r="AI176" i="1"/>
  <c r="AJ176" i="1" s="1"/>
  <c r="AK176" i="1"/>
  <c r="AB177" i="1"/>
  <c r="AD177" i="1"/>
  <c r="AE177" i="1" s="1"/>
  <c r="AI177" i="1"/>
  <c r="AJ177" i="1" s="1"/>
  <c r="AK177" i="1"/>
  <c r="AB178" i="1"/>
  <c r="AD178" i="1"/>
  <c r="AE178" i="1" s="1"/>
  <c r="AI178" i="1"/>
  <c r="AJ178" i="1" s="1"/>
  <c r="AK178" i="1"/>
  <c r="AB179" i="1"/>
  <c r="AD179" i="1" s="1"/>
  <c r="AE179" i="1" s="1"/>
  <c r="AI179" i="1"/>
  <c r="AJ179" i="1"/>
  <c r="AK179" i="1"/>
  <c r="AB180" i="1"/>
  <c r="AI180" i="1"/>
  <c r="AJ180" i="1"/>
  <c r="AK180" i="1"/>
  <c r="AB181" i="1"/>
  <c r="AD181" i="1"/>
  <c r="AE181" i="1" s="1"/>
  <c r="AI181" i="1"/>
  <c r="AJ181" i="1" s="1"/>
  <c r="AK181" i="1"/>
  <c r="AB182" i="1"/>
  <c r="AD182" i="1"/>
  <c r="AE182" i="1" s="1"/>
  <c r="AI182" i="1"/>
  <c r="AJ182" i="1" s="1"/>
  <c r="AK182" i="1"/>
  <c r="AB183" i="1"/>
  <c r="AD183" i="1"/>
  <c r="AE183" i="1"/>
  <c r="AI183" i="1"/>
  <c r="AJ183" i="1"/>
  <c r="AK183" i="1"/>
  <c r="AB184" i="1"/>
  <c r="AD184" i="1" s="1"/>
  <c r="AE184" i="1" s="1"/>
  <c r="AI184" i="1"/>
  <c r="AJ184" i="1" s="1"/>
  <c r="AK184" i="1"/>
  <c r="AB185" i="1"/>
  <c r="AD185" i="1" s="1"/>
  <c r="AE185" i="1" s="1"/>
  <c r="AI185" i="1"/>
  <c r="AJ185" i="1"/>
  <c r="AK185" i="1"/>
  <c r="AB186" i="1"/>
  <c r="AI186" i="1"/>
  <c r="AJ186" i="1"/>
  <c r="AK186" i="1"/>
  <c r="AB187" i="1"/>
  <c r="AD187" i="1" s="1"/>
  <c r="AE187" i="1" s="1"/>
  <c r="AI187" i="1"/>
  <c r="AJ187" i="1"/>
  <c r="AK187" i="1"/>
  <c r="R188" i="1"/>
  <c r="AB188" i="1"/>
  <c r="AD188" i="1"/>
  <c r="AE188" i="1" s="1"/>
  <c r="AI188" i="1"/>
  <c r="AJ188" i="1"/>
  <c r="AK188" i="1"/>
  <c r="AB189" i="1"/>
  <c r="AD189" i="1"/>
  <c r="AE189" i="1" s="1"/>
  <c r="AI189" i="1"/>
  <c r="AJ189" i="1" s="1"/>
  <c r="AK189" i="1"/>
  <c r="AB190" i="1"/>
  <c r="AD190" i="1"/>
  <c r="AE190" i="1" s="1"/>
  <c r="AI190" i="1"/>
  <c r="AJ190" i="1"/>
  <c r="AK190" i="1"/>
  <c r="AB191" i="1"/>
  <c r="AD191" i="1"/>
  <c r="AE191" i="1" s="1"/>
  <c r="AI191" i="1"/>
  <c r="AJ191" i="1" s="1"/>
  <c r="AK191" i="1"/>
  <c r="Z192" i="1"/>
  <c r="AB192" i="1"/>
  <c r="AI192" i="1"/>
  <c r="AJ192" i="1"/>
  <c r="AK192" i="1"/>
  <c r="AB193" i="1"/>
  <c r="AI193" i="1"/>
  <c r="AJ193" i="1"/>
  <c r="AK193" i="1"/>
  <c r="AB194" i="1"/>
  <c r="AD194" i="1"/>
  <c r="AE194" i="1"/>
  <c r="AI194" i="1"/>
  <c r="AJ194" i="1"/>
  <c r="AK194" i="1"/>
  <c r="AB195" i="1"/>
  <c r="AD195" i="1" s="1"/>
  <c r="AE195" i="1" s="1"/>
  <c r="AI195" i="1"/>
  <c r="AJ195" i="1" s="1"/>
  <c r="AK195" i="1"/>
  <c r="E196" i="1"/>
  <c r="AB196" i="1"/>
  <c r="AI196" i="1"/>
  <c r="AJ196" i="1"/>
  <c r="AK196" i="1"/>
  <c r="AB197" i="1"/>
  <c r="AD197" i="1"/>
  <c r="AE197" i="1" s="1"/>
  <c r="AI197" i="1"/>
  <c r="AJ197" i="1" s="1"/>
  <c r="AK197" i="1"/>
  <c r="Z198" i="1"/>
  <c r="AB198" i="1"/>
  <c r="AD198" i="1" s="1"/>
  <c r="AE198" i="1" s="1"/>
  <c r="AI198" i="1"/>
  <c r="AJ198" i="1"/>
  <c r="AK198" i="1"/>
  <c r="Z199" i="1"/>
  <c r="AB199" i="1"/>
  <c r="AI199" i="1"/>
  <c r="AJ199" i="1"/>
  <c r="AK199" i="1"/>
  <c r="G200" i="1"/>
  <c r="AB200" i="1"/>
  <c r="AE200" i="1" s="1"/>
  <c r="AD200" i="1"/>
  <c r="AI200" i="1"/>
  <c r="AJ200" i="1"/>
  <c r="AK200" i="1"/>
  <c r="AB201" i="1"/>
  <c r="AD201" i="1"/>
  <c r="AE201" i="1" s="1"/>
  <c r="AI201" i="1"/>
  <c r="AJ201" i="1"/>
  <c r="AK201" i="1"/>
  <c r="G202" i="1"/>
  <c r="AB202" i="1"/>
  <c r="AD202" i="1"/>
  <c r="AE202" i="1" s="1"/>
  <c r="AI202" i="1"/>
  <c r="AJ202" i="1" s="1"/>
  <c r="AK202" i="1"/>
  <c r="AB203" i="1"/>
  <c r="AI203" i="1"/>
  <c r="AJ203" i="1"/>
  <c r="AK203" i="1"/>
  <c r="AB204" i="1"/>
  <c r="AD204" i="1"/>
  <c r="AE204" i="1"/>
  <c r="AI204" i="1"/>
  <c r="AJ204" i="1"/>
  <c r="AK204" i="1"/>
  <c r="AB205" i="1"/>
  <c r="AD205" i="1"/>
  <c r="AE205" i="1" s="1"/>
  <c r="AI205" i="1"/>
  <c r="AJ205" i="1" s="1"/>
  <c r="AK205" i="1"/>
  <c r="AB206" i="1"/>
  <c r="AD206" i="1"/>
  <c r="AE206" i="1"/>
  <c r="AI206" i="1"/>
  <c r="AJ206" i="1"/>
  <c r="AK206" i="1"/>
  <c r="AB207" i="1"/>
  <c r="AD207" i="1"/>
  <c r="AE207" i="1"/>
  <c r="AI207" i="1"/>
  <c r="AJ207" i="1"/>
  <c r="AK207" i="1"/>
  <c r="AB208" i="1"/>
  <c r="AI208" i="1"/>
  <c r="AJ208" i="1"/>
  <c r="AK208" i="1"/>
  <c r="AB209" i="1"/>
  <c r="AD209" i="1"/>
  <c r="AE209" i="1" s="1"/>
  <c r="AI209" i="1"/>
  <c r="AJ209" i="1" s="1"/>
  <c r="AK209" i="1"/>
  <c r="AB210" i="1"/>
  <c r="AD210" i="1"/>
  <c r="AE210" i="1"/>
  <c r="AI210" i="1"/>
  <c r="AJ210" i="1"/>
  <c r="AK210" i="1"/>
  <c r="AB211" i="1"/>
  <c r="AI211" i="1"/>
  <c r="AJ211" i="1"/>
  <c r="AK211" i="1"/>
  <c r="AB212" i="1"/>
  <c r="AD212" i="1" s="1"/>
  <c r="AE212" i="1" s="1"/>
  <c r="AI212" i="1"/>
  <c r="AJ212" i="1"/>
  <c r="AK212" i="1"/>
  <c r="AB213" i="1"/>
  <c r="AD213" i="1"/>
  <c r="AE213" i="1"/>
  <c r="AI213" i="1"/>
  <c r="AJ213" i="1" s="1"/>
  <c r="AK213" i="1"/>
  <c r="AB214" i="1"/>
  <c r="AI214" i="1"/>
  <c r="AJ214" i="1"/>
  <c r="AK214" i="1"/>
  <c r="AB215" i="1"/>
  <c r="AD215" i="1"/>
  <c r="AE215" i="1"/>
  <c r="AI215" i="1"/>
  <c r="AJ215" i="1"/>
  <c r="AK215" i="1"/>
  <c r="AB216" i="1"/>
  <c r="AD216" i="1"/>
  <c r="AE216" i="1" s="1"/>
  <c r="AI216" i="1"/>
  <c r="AJ216" i="1" s="1"/>
  <c r="AK216" i="1"/>
  <c r="AB217" i="1"/>
  <c r="AD217" i="1"/>
  <c r="AE217" i="1" s="1"/>
  <c r="AI217" i="1"/>
  <c r="AJ217" i="1"/>
  <c r="AK217" i="1"/>
  <c r="AB218" i="1"/>
  <c r="AD218" i="1"/>
  <c r="AE218" i="1" s="1"/>
  <c r="AI218" i="1"/>
  <c r="AJ218" i="1" s="1"/>
  <c r="AK218" i="1"/>
  <c r="AB219" i="1"/>
  <c r="AD219" i="1"/>
  <c r="AE219" i="1"/>
  <c r="AI219" i="1"/>
  <c r="AJ219" i="1"/>
  <c r="AK219" i="1"/>
  <c r="F220" i="1"/>
  <c r="AB220" i="1"/>
  <c r="AD220" i="1" s="1"/>
  <c r="AE220" i="1" s="1"/>
  <c r="AI220" i="1"/>
  <c r="AJ220" i="1"/>
  <c r="AK220" i="1"/>
  <c r="AB221" i="1"/>
  <c r="AD221" i="1"/>
  <c r="AE221" i="1" s="1"/>
  <c r="AI221" i="1"/>
  <c r="AJ221" i="1" s="1"/>
  <c r="AK221" i="1"/>
  <c r="AB222" i="1"/>
  <c r="AI222" i="1"/>
  <c r="AJ222" i="1"/>
  <c r="AK222" i="1"/>
  <c r="AB223" i="1"/>
  <c r="AD223" i="1"/>
  <c r="AE223" i="1" s="1"/>
  <c r="AI223" i="1"/>
  <c r="AJ223" i="1" s="1"/>
  <c r="AK223" i="1"/>
  <c r="AB224" i="1"/>
  <c r="AD224" i="1"/>
  <c r="AE224" i="1" s="1"/>
  <c r="AI224" i="1"/>
  <c r="AJ224" i="1"/>
  <c r="AK224" i="1"/>
  <c r="AB225" i="1"/>
  <c r="AI225" i="1"/>
  <c r="AJ225" i="1"/>
  <c r="AK225" i="1"/>
  <c r="F226" i="1"/>
  <c r="R226" i="1"/>
  <c r="AB226" i="1"/>
  <c r="AE226" i="1" s="1"/>
  <c r="AD226" i="1"/>
  <c r="AI226" i="1"/>
  <c r="AJ226" i="1"/>
  <c r="AK226" i="1"/>
  <c r="F227" i="1"/>
  <c r="R227" i="1"/>
  <c r="AB227" i="1"/>
  <c r="AD227" i="1"/>
  <c r="AE227" i="1" s="1"/>
  <c r="AI227" i="1"/>
  <c r="AJ227" i="1"/>
  <c r="AK227" i="1"/>
  <c r="AB228" i="1"/>
  <c r="AD228" i="1" s="1"/>
  <c r="AE228" i="1" s="1"/>
  <c r="AI228" i="1"/>
  <c r="AJ228" i="1" s="1"/>
  <c r="AK228" i="1"/>
  <c r="AB229" i="1"/>
  <c r="AD229" i="1"/>
  <c r="AE229" i="1"/>
  <c r="AI229" i="1"/>
  <c r="AJ229" i="1"/>
  <c r="AK229" i="1"/>
  <c r="AB230" i="1"/>
  <c r="AE230" i="1" s="1"/>
  <c r="AD230" i="1"/>
  <c r="AI230" i="1"/>
  <c r="AJ230" i="1"/>
  <c r="AK230" i="1"/>
  <c r="AB231" i="1"/>
  <c r="AI231" i="1"/>
  <c r="AJ231" i="1"/>
  <c r="AK231" i="1"/>
  <c r="AB232" i="1"/>
  <c r="AD232" i="1"/>
  <c r="AE232" i="1" s="1"/>
  <c r="AI232" i="1"/>
  <c r="AJ232" i="1" s="1"/>
  <c r="AK232" i="1"/>
  <c r="AB233" i="1"/>
  <c r="AD233" i="1"/>
  <c r="AE233" i="1"/>
  <c r="AI233" i="1"/>
  <c r="AJ233" i="1"/>
  <c r="AK233" i="1"/>
  <c r="F234" i="1"/>
  <c r="AB234" i="1"/>
  <c r="AI234" i="1"/>
  <c r="AJ234" i="1"/>
  <c r="AK234" i="1"/>
  <c r="AB235" i="1"/>
  <c r="AD235" i="1"/>
  <c r="AE235" i="1" s="1"/>
  <c r="AI235" i="1"/>
  <c r="AJ235" i="1" s="1"/>
  <c r="AK235" i="1"/>
  <c r="AB236" i="1"/>
  <c r="AD236" i="1"/>
  <c r="AE236" i="1" s="1"/>
  <c r="AI236" i="1"/>
  <c r="AJ236" i="1"/>
  <c r="AK236" i="1"/>
  <c r="AB237" i="1"/>
  <c r="AD237" i="1" s="1"/>
  <c r="AE237" i="1" s="1"/>
  <c r="AI237" i="1"/>
  <c r="AJ237" i="1" s="1"/>
  <c r="AK237" i="1"/>
  <c r="AB238" i="1"/>
  <c r="AD238" i="1"/>
  <c r="AE238" i="1" s="1"/>
  <c r="AI238" i="1"/>
  <c r="AJ238" i="1"/>
  <c r="AK238" i="1"/>
  <c r="AB239" i="1"/>
  <c r="AD239" i="1"/>
  <c r="AE239" i="1" s="1"/>
  <c r="AI239" i="1"/>
  <c r="AJ239" i="1" s="1"/>
  <c r="AK239" i="1"/>
  <c r="AB240" i="1"/>
  <c r="AD240" i="1"/>
  <c r="AE240" i="1"/>
  <c r="AI240" i="1"/>
  <c r="AJ240" i="1" s="1"/>
  <c r="AK240" i="1"/>
  <c r="Z241" i="1"/>
  <c r="AB241" i="1"/>
  <c r="AD241" i="1" s="1"/>
  <c r="AE241" i="1" s="1"/>
  <c r="AI241" i="1"/>
  <c r="AJ241" i="1"/>
  <c r="AK241" i="1"/>
  <c r="R242" i="1"/>
  <c r="AB242" i="1"/>
  <c r="AD242" i="1"/>
  <c r="AE242" i="1" s="1"/>
  <c r="AI242" i="1"/>
  <c r="AJ242" i="1"/>
  <c r="AK242" i="1"/>
  <c r="E243" i="1"/>
  <c r="F243" i="1"/>
  <c r="AB243" i="1"/>
  <c r="AD243" i="1" s="1"/>
  <c r="AE243" i="1" s="1"/>
  <c r="AI243" i="1"/>
  <c r="AJ243" i="1"/>
  <c r="AK243" i="1"/>
  <c r="AB244" i="1"/>
  <c r="AD244" i="1"/>
  <c r="AE244" i="1" s="1"/>
  <c r="AI244" i="1"/>
  <c r="AJ244" i="1"/>
  <c r="AK244" i="1"/>
  <c r="AB245" i="1"/>
  <c r="AI245" i="1"/>
  <c r="AJ245" i="1"/>
  <c r="AK245" i="1"/>
  <c r="AB246" i="1"/>
  <c r="AD246" i="1"/>
  <c r="AE246" i="1"/>
  <c r="AI246" i="1"/>
  <c r="AJ246" i="1"/>
  <c r="AK246" i="1"/>
  <c r="AB247" i="1"/>
  <c r="AI247" i="1"/>
  <c r="AJ247" i="1"/>
  <c r="AK247" i="1"/>
  <c r="E248" i="1"/>
  <c r="F248" i="1"/>
  <c r="AB248" i="1"/>
  <c r="AD248" i="1"/>
  <c r="AE248" i="1" s="1"/>
  <c r="AI248" i="1"/>
  <c r="AJ248" i="1"/>
  <c r="AK248" i="1"/>
  <c r="AB249" i="1"/>
  <c r="AI249" i="1"/>
  <c r="AJ249" i="1"/>
  <c r="AK249" i="1"/>
  <c r="Z250" i="1"/>
  <c r="AB250" i="1"/>
  <c r="AD250" i="1" s="1"/>
  <c r="AE250" i="1" s="1"/>
  <c r="AI250" i="1"/>
  <c r="AJ250" i="1"/>
  <c r="AK250" i="1"/>
  <c r="F251" i="1"/>
  <c r="AB251" i="1"/>
  <c r="AD251" i="1" s="1"/>
  <c r="AE251" i="1" s="1"/>
  <c r="AI251" i="1"/>
  <c r="AJ251" i="1"/>
  <c r="AK251" i="1"/>
  <c r="AB252" i="1"/>
  <c r="AD252" i="1"/>
  <c r="AE252" i="1" s="1"/>
  <c r="AI252" i="1"/>
  <c r="AJ252" i="1" s="1"/>
  <c r="AK252" i="1"/>
  <c r="F253" i="1"/>
  <c r="AB253" i="1"/>
  <c r="AD253" i="1"/>
  <c r="AE253" i="1" s="1"/>
  <c r="AI253" i="1"/>
  <c r="AJ253" i="1"/>
  <c r="AK253" i="1"/>
  <c r="AB254" i="1"/>
  <c r="AD254" i="1"/>
  <c r="AE254" i="1" s="1"/>
  <c r="AI254" i="1"/>
  <c r="AJ254" i="1"/>
  <c r="AK254" i="1"/>
  <c r="AB255" i="1"/>
  <c r="AD255" i="1"/>
  <c r="AE255" i="1" s="1"/>
  <c r="AI255" i="1"/>
  <c r="AJ255" i="1"/>
  <c r="AK255" i="1"/>
  <c r="AB256" i="1"/>
  <c r="AD256" i="1"/>
  <c r="AE256" i="1" s="1"/>
  <c r="AI256" i="1"/>
  <c r="AJ256" i="1" s="1"/>
  <c r="AK256" i="1"/>
  <c r="AB257" i="1"/>
  <c r="AI257" i="1"/>
  <c r="AJ257" i="1"/>
  <c r="AK257" i="1"/>
  <c r="AB258" i="1"/>
  <c r="AD258" i="1"/>
  <c r="AE258" i="1"/>
  <c r="AI258" i="1"/>
  <c r="AJ258" i="1" s="1"/>
  <c r="AK258" i="1"/>
  <c r="AB259" i="1"/>
  <c r="AD259" i="1" s="1"/>
  <c r="AE259" i="1" s="1"/>
  <c r="AI259" i="1"/>
  <c r="AJ259" i="1"/>
  <c r="AK259" i="1"/>
  <c r="AB260" i="1"/>
  <c r="AI260" i="1"/>
  <c r="AJ260" i="1" s="1"/>
  <c r="AK260" i="1"/>
  <c r="F261" i="1"/>
  <c r="AB261" i="1"/>
  <c r="AD261" i="1"/>
  <c r="AE261" i="1"/>
  <c r="AI261" i="1"/>
  <c r="AJ261" i="1"/>
  <c r="AK261" i="1"/>
  <c r="AB262" i="1"/>
  <c r="AI262" i="1"/>
  <c r="AJ262" i="1"/>
  <c r="AK262" i="1"/>
  <c r="AB263" i="1"/>
  <c r="AD263" i="1"/>
  <c r="AE263" i="1" s="1"/>
  <c r="AI263" i="1"/>
  <c r="AJ263" i="1" s="1"/>
  <c r="AK263" i="1"/>
  <c r="AB264" i="1"/>
  <c r="AD264" i="1"/>
  <c r="AE264" i="1"/>
  <c r="AI264" i="1"/>
  <c r="AJ264" i="1"/>
  <c r="AK264" i="1"/>
  <c r="AB265" i="1"/>
  <c r="AD265" i="1"/>
  <c r="AE265" i="1" s="1"/>
  <c r="AI265" i="1"/>
  <c r="AJ265" i="1"/>
  <c r="AK265" i="1"/>
  <c r="AB266" i="1"/>
  <c r="AD266" i="1"/>
  <c r="AE266" i="1" s="1"/>
  <c r="AI266" i="1"/>
  <c r="AJ266" i="1" s="1"/>
  <c r="AK266" i="1"/>
  <c r="AB267" i="1"/>
  <c r="AI267" i="1"/>
  <c r="AJ267" i="1"/>
  <c r="AK267" i="1"/>
  <c r="Z268" i="1"/>
  <c r="AB268" i="1"/>
  <c r="AD268" i="1"/>
  <c r="AE268" i="1" s="1"/>
  <c r="AI268" i="1"/>
  <c r="AJ268" i="1" s="1"/>
  <c r="AK268" i="1"/>
  <c r="R269" i="1"/>
  <c r="AB269" i="1"/>
  <c r="AD269" i="1"/>
  <c r="AE269" i="1" s="1"/>
  <c r="AI269" i="1"/>
  <c r="AJ269" i="1"/>
  <c r="AK269" i="1"/>
  <c r="AB270" i="1"/>
  <c r="AD270" i="1"/>
  <c r="AE270" i="1"/>
  <c r="AI270" i="1"/>
  <c r="AJ270" i="1"/>
  <c r="AK270" i="1"/>
  <c r="AB271" i="1"/>
  <c r="AD271" i="1" s="1"/>
  <c r="AE271" i="1" s="1"/>
  <c r="AI271" i="1"/>
  <c r="AJ271" i="1"/>
  <c r="AK271" i="1"/>
  <c r="AB272" i="1"/>
  <c r="AD272" i="1"/>
  <c r="AE272" i="1"/>
  <c r="AI272" i="1"/>
  <c r="AJ272" i="1"/>
  <c r="AK272" i="1"/>
  <c r="AB273" i="1"/>
  <c r="AD273" i="1"/>
  <c r="AE273" i="1"/>
  <c r="AI273" i="1"/>
  <c r="AJ273" i="1"/>
  <c r="AK273" i="1"/>
  <c r="AB274" i="1"/>
  <c r="AD274" i="1"/>
  <c r="AE274" i="1" s="1"/>
  <c r="AI274" i="1"/>
  <c r="AJ274" i="1"/>
  <c r="AK274" i="1"/>
  <c r="AB275" i="1"/>
  <c r="AD275" i="1"/>
  <c r="AE275" i="1" s="1"/>
  <c r="AI275" i="1"/>
  <c r="AJ275" i="1"/>
  <c r="AK275" i="1"/>
  <c r="AB276" i="1"/>
  <c r="AD276" i="1" s="1"/>
  <c r="AE276" i="1" s="1"/>
  <c r="AI276" i="1"/>
  <c r="AJ276" i="1" s="1"/>
  <c r="AK276" i="1"/>
  <c r="AB277" i="1"/>
  <c r="AD277" i="1" s="1"/>
  <c r="AE277" i="1" s="1"/>
  <c r="AI277" i="1"/>
  <c r="AJ277" i="1"/>
  <c r="AK277" i="1"/>
  <c r="AB278" i="1"/>
  <c r="AD278" i="1"/>
  <c r="AE278" i="1"/>
  <c r="AI278" i="1"/>
  <c r="AJ278" i="1" s="1"/>
  <c r="AK278" i="1"/>
  <c r="Z279" i="1"/>
  <c r="AB279" i="1"/>
  <c r="AD279" i="1"/>
  <c r="AE279" i="1" s="1"/>
  <c r="AI279" i="1"/>
  <c r="AJ279" i="1"/>
  <c r="AK279" i="1"/>
  <c r="AB280" i="1"/>
  <c r="AD280" i="1" s="1"/>
  <c r="AE280" i="1" s="1"/>
  <c r="AI280" i="1"/>
  <c r="AJ280" i="1"/>
  <c r="AK280" i="1"/>
  <c r="AB281" i="1"/>
  <c r="AE281" i="1" s="1"/>
  <c r="AD281" i="1"/>
  <c r="AI281" i="1"/>
  <c r="AJ281" i="1"/>
  <c r="AK281" i="1"/>
  <c r="AB282" i="1"/>
  <c r="AD282" i="1"/>
  <c r="AE282" i="1"/>
  <c r="AI282" i="1"/>
  <c r="AJ282" i="1" s="1"/>
  <c r="AK282" i="1"/>
  <c r="Z283" i="1"/>
  <c r="AB283" i="1"/>
  <c r="AI283" i="1"/>
  <c r="AJ283" i="1"/>
  <c r="AK283" i="1"/>
  <c r="AB284" i="1"/>
  <c r="AD284" i="1" s="1"/>
  <c r="AE284" i="1" s="1"/>
  <c r="AI284" i="1"/>
  <c r="AJ284" i="1" s="1"/>
  <c r="AK284" i="1"/>
  <c r="AB285" i="1"/>
  <c r="AD285" i="1"/>
  <c r="AE285" i="1" s="1"/>
  <c r="AI285" i="1"/>
  <c r="AJ285" i="1"/>
  <c r="AK285" i="1"/>
  <c r="AB286" i="1"/>
  <c r="AD286" i="1" s="1"/>
  <c r="AE286" i="1" s="1"/>
  <c r="AI286" i="1"/>
  <c r="AJ286" i="1" s="1"/>
  <c r="AK286" i="1"/>
  <c r="AB287" i="1"/>
  <c r="AD287" i="1"/>
  <c r="AE287" i="1"/>
  <c r="AI287" i="1"/>
  <c r="AJ287" i="1"/>
  <c r="AK287" i="1"/>
  <c r="AB288" i="1"/>
  <c r="AD288" i="1"/>
  <c r="AE288" i="1" s="1"/>
  <c r="AI288" i="1"/>
  <c r="AJ288" i="1"/>
  <c r="AK288" i="1"/>
  <c r="AB289" i="1"/>
  <c r="AD289" i="1" s="1"/>
  <c r="AE289" i="1" s="1"/>
  <c r="AI289" i="1"/>
  <c r="AJ289" i="1"/>
  <c r="AK289" i="1"/>
  <c r="AB290" i="1"/>
  <c r="AI290" i="1"/>
  <c r="AJ290" i="1"/>
  <c r="AK290" i="1"/>
  <c r="AB291" i="1"/>
  <c r="AD291" i="1"/>
  <c r="AE291" i="1" s="1"/>
  <c r="AI291" i="1"/>
  <c r="AJ291" i="1"/>
  <c r="AK291" i="1"/>
  <c r="AB292" i="1"/>
  <c r="AD292" i="1" s="1"/>
  <c r="AE292" i="1" s="1"/>
  <c r="AI292" i="1"/>
  <c r="AJ292" i="1" s="1"/>
  <c r="AK292" i="1"/>
  <c r="AB293" i="1"/>
  <c r="AD293" i="1"/>
  <c r="AE293" i="1" s="1"/>
  <c r="AI293" i="1"/>
  <c r="AJ293" i="1" s="1"/>
  <c r="AK293" i="1"/>
  <c r="AB294" i="1"/>
  <c r="AD294" i="1"/>
  <c r="AE294" i="1"/>
  <c r="AI294" i="1"/>
  <c r="AJ294" i="1"/>
  <c r="AK294" i="1"/>
  <c r="Z295" i="1"/>
  <c r="AB295" i="1"/>
  <c r="AD295" i="1" s="1"/>
  <c r="AE295" i="1" s="1"/>
  <c r="AI295" i="1"/>
  <c r="AJ295" i="1"/>
  <c r="AK295" i="1"/>
  <c r="R296" i="1"/>
  <c r="AB296" i="1"/>
  <c r="AE296" i="1" s="1"/>
  <c r="AD296" i="1"/>
  <c r="AI296" i="1"/>
  <c r="AJ296" i="1"/>
  <c r="AK296" i="1"/>
  <c r="AB297" i="1"/>
  <c r="AI297" i="1"/>
  <c r="AJ297" i="1"/>
  <c r="AK297" i="1"/>
  <c r="AB298" i="1"/>
  <c r="AI298" i="1"/>
  <c r="AJ298" i="1"/>
  <c r="AK298" i="1"/>
  <c r="AB299" i="1"/>
  <c r="AD299" i="1"/>
  <c r="AE299" i="1" s="1"/>
  <c r="AI299" i="1"/>
  <c r="AJ299" i="1"/>
  <c r="AK299" i="1"/>
  <c r="AB300" i="1"/>
  <c r="AI300" i="1"/>
  <c r="AJ300" i="1"/>
  <c r="AK300" i="1"/>
  <c r="AB301" i="1"/>
  <c r="AD301" i="1"/>
  <c r="AE301" i="1" s="1"/>
  <c r="AI301" i="1"/>
  <c r="AJ301" i="1" s="1"/>
  <c r="AK301" i="1"/>
  <c r="AB302" i="1"/>
  <c r="AI302" i="1"/>
  <c r="AJ302" i="1" s="1"/>
  <c r="AK302" i="1"/>
  <c r="AB303" i="1"/>
  <c r="AD303" i="1"/>
  <c r="AE303" i="1" s="1"/>
  <c r="AI303" i="1"/>
  <c r="AJ303" i="1"/>
  <c r="AK303" i="1"/>
  <c r="AB304" i="1"/>
  <c r="AD304" i="1"/>
  <c r="AE304" i="1" s="1"/>
  <c r="AI304" i="1"/>
  <c r="AJ304" i="1" s="1"/>
  <c r="AK304" i="1"/>
  <c r="AB305" i="1"/>
  <c r="AD305" i="1"/>
  <c r="AE305" i="1" s="1"/>
  <c r="AI305" i="1"/>
  <c r="AJ305" i="1"/>
  <c r="AK305" i="1"/>
  <c r="F306" i="1"/>
  <c r="Z306" i="1"/>
  <c r="AB306" i="1"/>
  <c r="AD306" i="1"/>
  <c r="AE306" i="1" s="1"/>
  <c r="AI306" i="1"/>
  <c r="AJ306" i="1"/>
  <c r="AK306" i="1"/>
  <c r="Z307" i="1"/>
  <c r="AB307" i="1"/>
  <c r="AD307" i="1" s="1"/>
  <c r="AE307" i="1" s="1"/>
  <c r="AI307" i="1"/>
  <c r="AJ307" i="1"/>
  <c r="AK307" i="1"/>
  <c r="E308" i="1"/>
  <c r="AB308" i="1"/>
  <c r="AE308" i="1" s="1"/>
  <c r="AD308" i="1"/>
  <c r="AI308" i="1"/>
  <c r="AJ308" i="1"/>
  <c r="AK308" i="1"/>
  <c r="AB309" i="1"/>
  <c r="AI309" i="1"/>
  <c r="AJ309" i="1"/>
  <c r="AK309" i="1"/>
  <c r="AB310" i="1"/>
  <c r="AD310" i="1"/>
  <c r="AE310" i="1"/>
  <c r="AI310" i="1"/>
  <c r="AJ310" i="1" s="1"/>
  <c r="AK310" i="1"/>
  <c r="AB311" i="1"/>
  <c r="AD311" i="1"/>
  <c r="AE311" i="1" s="1"/>
  <c r="AI311" i="1"/>
  <c r="AJ311" i="1"/>
  <c r="AK311" i="1"/>
  <c r="AB312" i="1"/>
  <c r="AD312" i="1" s="1"/>
  <c r="AE312" i="1" s="1"/>
  <c r="AI312" i="1"/>
  <c r="AJ312" i="1" s="1"/>
  <c r="AK312" i="1"/>
  <c r="AB313" i="1"/>
  <c r="AD313" i="1"/>
  <c r="AE313" i="1"/>
  <c r="AI313" i="1"/>
  <c r="AJ313" i="1" s="1"/>
  <c r="AK313" i="1"/>
  <c r="AB314" i="1"/>
  <c r="AD314" i="1"/>
  <c r="AE314" i="1"/>
  <c r="AI314" i="1"/>
  <c r="AJ314" i="1"/>
  <c r="AK314" i="1"/>
  <c r="AB315" i="1"/>
  <c r="AD315" i="1"/>
  <c r="AE315" i="1" s="1"/>
  <c r="AI315" i="1"/>
  <c r="AJ315" i="1" s="1"/>
  <c r="AK315" i="1"/>
  <c r="R316" i="1"/>
  <c r="Z316" i="1"/>
  <c r="AB316" i="1"/>
  <c r="AD316" i="1"/>
  <c r="AE316" i="1" s="1"/>
  <c r="AI316" i="1"/>
  <c r="AJ316" i="1"/>
  <c r="AK316" i="1"/>
  <c r="AB317" i="1"/>
  <c r="AD317" i="1"/>
  <c r="AE317" i="1"/>
  <c r="AI317" i="1"/>
  <c r="AJ317" i="1" s="1"/>
  <c r="AK317" i="1"/>
  <c r="Z318" i="1"/>
  <c r="AB318" i="1"/>
  <c r="AD318" i="1" s="1"/>
  <c r="AE318" i="1" s="1"/>
  <c r="AI318" i="1"/>
  <c r="AJ318" i="1"/>
  <c r="AK318" i="1"/>
  <c r="AB319" i="1"/>
  <c r="AI319" i="1"/>
  <c r="AJ319" i="1" s="1"/>
  <c r="AK319" i="1"/>
  <c r="R320" i="1"/>
  <c r="Z320" i="1"/>
  <c r="AB320" i="1"/>
  <c r="AD320" i="1" s="1"/>
  <c r="AE320" i="1" s="1"/>
  <c r="AI320" i="1"/>
  <c r="AJ320" i="1"/>
  <c r="AK320" i="1"/>
  <c r="AB321" i="1"/>
  <c r="AD321" i="1"/>
  <c r="AE321" i="1"/>
  <c r="AI321" i="1"/>
  <c r="AJ321" i="1" s="1"/>
  <c r="AK321" i="1"/>
  <c r="Z322" i="1"/>
  <c r="AB322" i="1"/>
  <c r="AI322" i="1"/>
  <c r="AJ322" i="1"/>
  <c r="AK322" i="1"/>
  <c r="R323" i="1"/>
  <c r="AB323" i="1"/>
  <c r="AD323" i="1" s="1"/>
  <c r="AE323" i="1" s="1"/>
  <c r="AI323" i="1"/>
  <c r="AJ323" i="1"/>
  <c r="AK323" i="1"/>
  <c r="AB324" i="1"/>
  <c r="AD324" i="1" s="1"/>
  <c r="AE324" i="1" s="1"/>
  <c r="AI324" i="1"/>
  <c r="AJ324" i="1"/>
  <c r="AK324" i="1"/>
  <c r="AB325" i="1"/>
  <c r="AD325" i="1"/>
  <c r="AE325" i="1" s="1"/>
  <c r="AI325" i="1"/>
  <c r="AJ325" i="1" s="1"/>
  <c r="AK325" i="1"/>
  <c r="AB326" i="1"/>
  <c r="AD326" i="1"/>
  <c r="AE326" i="1" s="1"/>
  <c r="AI326" i="1"/>
  <c r="AJ326" i="1"/>
  <c r="AK326" i="1"/>
  <c r="AB327" i="1"/>
  <c r="AD327" i="1"/>
  <c r="AE327" i="1"/>
  <c r="AI327" i="1"/>
  <c r="AJ327" i="1"/>
  <c r="AK327" i="1"/>
  <c r="R328" i="1"/>
  <c r="AB328" i="1"/>
  <c r="AI328" i="1"/>
  <c r="AJ328" i="1"/>
  <c r="AK328" i="1"/>
  <c r="F329" i="1"/>
  <c r="Z329" i="1"/>
  <c r="AB329" i="1"/>
  <c r="AI329" i="1"/>
  <c r="AJ329" i="1"/>
  <c r="AK329" i="1"/>
  <c r="AB330" i="1"/>
  <c r="AD330" i="1"/>
  <c r="AE330" i="1" s="1"/>
  <c r="AI330" i="1"/>
  <c r="AJ330" i="1"/>
  <c r="AK330" i="1"/>
  <c r="AB331" i="1"/>
  <c r="AD331" i="1"/>
  <c r="AE331" i="1"/>
  <c r="AI331" i="1"/>
  <c r="AJ331" i="1"/>
  <c r="AK331" i="1"/>
  <c r="E332" i="1"/>
  <c r="Z332" i="1"/>
  <c r="AB332" i="1"/>
  <c r="AI332" i="1"/>
  <c r="AJ332" i="1"/>
  <c r="AK332" i="1"/>
  <c r="AB333" i="1"/>
  <c r="AD333" i="1"/>
  <c r="AE333" i="1" s="1"/>
  <c r="AI333" i="1"/>
  <c r="AJ333" i="1" s="1"/>
  <c r="AK333" i="1"/>
  <c r="AB334" i="1"/>
  <c r="AD334" i="1"/>
  <c r="AE334" i="1"/>
  <c r="AI334" i="1"/>
  <c r="AJ334" i="1"/>
  <c r="AK334" i="1"/>
  <c r="AB335" i="1"/>
  <c r="AE335" i="1" s="1"/>
  <c r="AD335" i="1"/>
  <c r="AI335" i="1"/>
  <c r="AJ335" i="1" s="1"/>
  <c r="AK335" i="1"/>
  <c r="AB336" i="1"/>
  <c r="AD336" i="1"/>
  <c r="AE336" i="1" s="1"/>
  <c r="AI336" i="1"/>
  <c r="AJ336" i="1"/>
  <c r="AK336" i="1"/>
  <c r="AB337" i="1"/>
  <c r="AD337" i="1" s="1"/>
  <c r="AE337" i="1" s="1"/>
  <c r="AI337" i="1"/>
  <c r="AJ337" i="1" s="1"/>
  <c r="AK337" i="1"/>
  <c r="AB338" i="1"/>
  <c r="AD338" i="1"/>
  <c r="AE338" i="1" s="1"/>
  <c r="AI338" i="1"/>
  <c r="AJ338" i="1"/>
  <c r="AK338" i="1"/>
  <c r="AB339" i="1"/>
  <c r="AD339" i="1" s="1"/>
  <c r="AE339" i="1" s="1"/>
  <c r="AI339" i="1"/>
  <c r="AJ339" i="1"/>
  <c r="AK339" i="1"/>
  <c r="AB340" i="1"/>
  <c r="AD340" i="1"/>
  <c r="AE340" i="1" s="1"/>
  <c r="AI340" i="1"/>
  <c r="AJ340" i="1" s="1"/>
  <c r="AK340" i="1"/>
  <c r="AB341" i="1"/>
  <c r="AD341" i="1"/>
  <c r="AE341" i="1" s="1"/>
  <c r="AI341" i="1"/>
  <c r="AJ341" i="1"/>
  <c r="AK341" i="1"/>
  <c r="AB342" i="1"/>
  <c r="AD342" i="1"/>
  <c r="AE342" i="1" s="1"/>
  <c r="AI342" i="1"/>
  <c r="AJ342" i="1" s="1"/>
  <c r="AK342" i="1"/>
  <c r="AB343" i="1"/>
  <c r="AD343" i="1"/>
  <c r="AE343" i="1"/>
  <c r="AI343" i="1"/>
  <c r="AJ343" i="1" s="1"/>
  <c r="AK343" i="1"/>
  <c r="AB344" i="1"/>
  <c r="AI344" i="1"/>
  <c r="AJ344" i="1"/>
  <c r="AK344" i="1"/>
  <c r="AB345" i="1"/>
  <c r="AD345" i="1"/>
  <c r="AE345" i="1" s="1"/>
  <c r="AI345" i="1"/>
  <c r="AJ345" i="1" s="1"/>
  <c r="AK345" i="1"/>
  <c r="AB346" i="1"/>
  <c r="AI346" i="1"/>
  <c r="AJ346" i="1"/>
  <c r="AK346" i="1"/>
  <c r="AB347" i="1"/>
  <c r="AD347" i="1"/>
  <c r="AE347" i="1"/>
  <c r="AI347" i="1"/>
  <c r="AJ347" i="1" s="1"/>
  <c r="AK347" i="1"/>
  <c r="AB348" i="1"/>
  <c r="AI348" i="1"/>
  <c r="AJ348" i="1"/>
  <c r="AK348" i="1"/>
  <c r="Z349" i="1"/>
  <c r="AB349" i="1"/>
  <c r="AD349" i="1" s="1"/>
  <c r="AE349" i="1" s="1"/>
  <c r="AI349" i="1"/>
  <c r="AJ349" i="1"/>
  <c r="AK349" i="1"/>
  <c r="AB350" i="1"/>
  <c r="AE350" i="1" s="1"/>
  <c r="AD350" i="1"/>
  <c r="AI350" i="1"/>
  <c r="AJ350" i="1"/>
  <c r="AK350" i="1"/>
  <c r="AB351" i="1"/>
  <c r="AD351" i="1"/>
  <c r="AE351" i="1"/>
  <c r="AI351" i="1"/>
  <c r="AJ351" i="1"/>
  <c r="AK351" i="1"/>
  <c r="AB352" i="1"/>
  <c r="AD352" i="1"/>
  <c r="AE352" i="1" s="1"/>
  <c r="AI352" i="1"/>
  <c r="AJ352" i="1" s="1"/>
  <c r="AK352" i="1"/>
  <c r="AB353" i="1"/>
  <c r="AD353" i="1"/>
  <c r="AE353" i="1" s="1"/>
  <c r="AI353" i="1"/>
  <c r="AJ353" i="1" s="1"/>
  <c r="AK353" i="1"/>
  <c r="AB354" i="1"/>
  <c r="AD354" i="1"/>
  <c r="AE354" i="1"/>
  <c r="AI354" i="1"/>
  <c r="AJ354" i="1" s="1"/>
  <c r="AK354" i="1"/>
  <c r="AB355" i="1"/>
  <c r="AD355" i="1" s="1"/>
  <c r="AE355" i="1" s="1"/>
  <c r="AI355" i="1"/>
  <c r="AJ355" i="1" s="1"/>
  <c r="AK355" i="1"/>
  <c r="AB356" i="1"/>
  <c r="AD356" i="1"/>
  <c r="AE356" i="1" s="1"/>
  <c r="AI356" i="1"/>
  <c r="AJ356" i="1"/>
  <c r="AK356" i="1"/>
  <c r="AB357" i="1"/>
  <c r="AD357" i="1"/>
  <c r="AE357" i="1" s="1"/>
  <c r="AI357" i="1"/>
  <c r="AJ357" i="1"/>
  <c r="AK357" i="1"/>
  <c r="W358" i="1"/>
  <c r="AB358" i="1"/>
  <c r="AI358" i="1"/>
  <c r="AJ358" i="1" s="1"/>
  <c r="AK358" i="1"/>
  <c r="AB359" i="1"/>
  <c r="AI359" i="1"/>
  <c r="AJ359" i="1"/>
  <c r="AK359" i="1"/>
  <c r="AB360" i="1"/>
  <c r="AD360" i="1"/>
  <c r="AE360" i="1" s="1"/>
  <c r="AI360" i="1"/>
  <c r="AJ360" i="1"/>
  <c r="AK360" i="1"/>
  <c r="AB361" i="1"/>
  <c r="AD361" i="1"/>
  <c r="AE361" i="1" s="1"/>
  <c r="AI361" i="1"/>
  <c r="AJ361" i="1"/>
  <c r="AK361" i="1"/>
  <c r="AB362" i="1"/>
  <c r="AD362" i="1" s="1"/>
  <c r="AE362" i="1" s="1"/>
  <c r="AI362" i="1"/>
  <c r="AJ362" i="1"/>
  <c r="AK362" i="1"/>
  <c r="AB363" i="1"/>
  <c r="AD363" i="1"/>
  <c r="AE363" i="1"/>
  <c r="AI363" i="1"/>
  <c r="AJ363" i="1" s="1"/>
  <c r="AK363" i="1"/>
  <c r="AB364" i="1"/>
  <c r="AI364" i="1"/>
  <c r="AJ364" i="1"/>
  <c r="AK364" i="1"/>
  <c r="AB365" i="1"/>
  <c r="AI365" i="1"/>
  <c r="AJ365" i="1"/>
  <c r="AK365" i="1"/>
  <c r="AB366" i="1"/>
  <c r="AI366" i="1"/>
  <c r="AJ366" i="1"/>
  <c r="AK366" i="1"/>
  <c r="AB367" i="1"/>
  <c r="AD367" i="1" s="1"/>
  <c r="AE367" i="1" s="1"/>
  <c r="AI367" i="1"/>
  <c r="AJ367" i="1"/>
  <c r="AK367" i="1"/>
  <c r="AB368" i="1"/>
  <c r="AD368" i="1"/>
  <c r="AE368" i="1" s="1"/>
  <c r="AI368" i="1"/>
  <c r="AJ368" i="1" s="1"/>
  <c r="AK368" i="1"/>
  <c r="AB369" i="1"/>
  <c r="AE369" i="1" s="1"/>
  <c r="AD369" i="1"/>
  <c r="AI369" i="1"/>
  <c r="AJ369" i="1"/>
  <c r="AK369" i="1"/>
  <c r="R370" i="1"/>
  <c r="AB370" i="1"/>
  <c r="AI370" i="1"/>
  <c r="AJ370" i="1" s="1"/>
  <c r="AK370" i="1"/>
  <c r="AB371" i="1"/>
  <c r="AD371" i="1"/>
  <c r="AE371" i="1"/>
  <c r="AI371" i="1"/>
  <c r="AJ371" i="1"/>
  <c r="AK371" i="1"/>
  <c r="AB372" i="1"/>
  <c r="AE372" i="1" s="1"/>
  <c r="AD372" i="1"/>
  <c r="AI372" i="1"/>
  <c r="AJ372" i="1"/>
  <c r="AK372" i="1"/>
  <c r="AB373" i="1"/>
  <c r="AE373" i="1" s="1"/>
  <c r="AD373" i="1"/>
  <c r="AI373" i="1"/>
  <c r="AJ373" i="1"/>
  <c r="AK373" i="1"/>
  <c r="R374" i="1"/>
  <c r="AB374" i="1"/>
  <c r="AE374" i="1" s="1"/>
  <c r="AD374" i="1"/>
  <c r="AI374" i="1"/>
  <c r="AJ374" i="1"/>
  <c r="AK374" i="1"/>
  <c r="AB375" i="1"/>
  <c r="AD375" i="1" s="1"/>
  <c r="AE375" i="1" s="1"/>
  <c r="AI375" i="1"/>
  <c r="AJ375" i="1" s="1"/>
  <c r="AK375" i="1"/>
  <c r="Z376" i="1"/>
  <c r="AB376" i="1"/>
  <c r="AD376" i="1"/>
  <c r="AE376" i="1" s="1"/>
  <c r="AI376" i="1"/>
  <c r="AJ376" i="1"/>
  <c r="AK376" i="1"/>
  <c r="R377" i="1"/>
  <c r="AB377" i="1"/>
  <c r="AI377" i="1"/>
  <c r="AJ377" i="1"/>
  <c r="AK377" i="1"/>
  <c r="E378" i="1"/>
  <c r="AB378" i="1"/>
  <c r="AD378" i="1" s="1"/>
  <c r="AE378" i="1" s="1"/>
  <c r="AI378" i="1"/>
  <c r="AJ378" i="1" s="1"/>
  <c r="AK378" i="1"/>
  <c r="H379" i="1"/>
  <c r="AB379" i="1"/>
  <c r="AI379" i="1"/>
  <c r="AJ379" i="1"/>
  <c r="AK379" i="1"/>
  <c r="AB380" i="1"/>
  <c r="AI380" i="1"/>
  <c r="AJ380" i="1"/>
  <c r="AK380" i="1"/>
  <c r="AB381" i="1"/>
  <c r="AD381" i="1"/>
  <c r="AE381" i="1"/>
  <c r="AI381" i="1"/>
  <c r="AJ381" i="1"/>
  <c r="AK381" i="1"/>
  <c r="AB382" i="1"/>
  <c r="AD382" i="1"/>
  <c r="AE382" i="1"/>
  <c r="AI382" i="1"/>
  <c r="AJ382" i="1" s="1"/>
  <c r="AK382" i="1"/>
  <c r="AB383" i="1"/>
  <c r="AI383" i="1"/>
  <c r="AJ383" i="1"/>
  <c r="AK383" i="1"/>
  <c r="AE156" i="2" l="1"/>
  <c r="AC156" i="2"/>
  <c r="AE164" i="2"/>
  <c r="AC164" i="2"/>
  <c r="AD143" i="1"/>
  <c r="AE143" i="1" s="1"/>
  <c r="AD180" i="1"/>
  <c r="AE180" i="1" s="1"/>
  <c r="AD186" i="1"/>
  <c r="AE186" i="1" s="1"/>
  <c r="AD192" i="1"/>
  <c r="AE192" i="1" s="1"/>
  <c r="AD193" i="1"/>
  <c r="AE193" i="1"/>
  <c r="AD196" i="1"/>
  <c r="AE196" i="1" s="1"/>
  <c r="AD199" i="1"/>
  <c r="AE199" i="1" s="1"/>
  <c r="AD203" i="1"/>
  <c r="AE203" i="1"/>
  <c r="AD208" i="1"/>
  <c r="AE208" i="1"/>
  <c r="AD211" i="1"/>
  <c r="AE211" i="1" s="1"/>
  <c r="AD214" i="1"/>
  <c r="AE214" i="1" s="1"/>
  <c r="AD222" i="1"/>
  <c r="AE222" i="1" s="1"/>
  <c r="AD225" i="1"/>
  <c r="AE225" i="1" s="1"/>
  <c r="AD231" i="1"/>
  <c r="AE231" i="1" s="1"/>
  <c r="AD234" i="1"/>
  <c r="AE234" i="1" s="1"/>
  <c r="AD245" i="1"/>
  <c r="AE245" i="1"/>
  <c r="AD247" i="1"/>
  <c r="AE247" i="1"/>
  <c r="AD249" i="1"/>
  <c r="AE249" i="1" s="1"/>
  <c r="AD257" i="1"/>
  <c r="AE257" i="1" s="1"/>
  <c r="AD260" i="1"/>
  <c r="AE260" i="1" s="1"/>
  <c r="AD262" i="1"/>
  <c r="AE262" i="1"/>
  <c r="AD267" i="1"/>
  <c r="AE267" i="1" s="1"/>
  <c r="AD283" i="1"/>
  <c r="AE283" i="1"/>
  <c r="AE290" i="1"/>
  <c r="AD290" i="1"/>
  <c r="AD297" i="1"/>
  <c r="AE297" i="1" s="1"/>
  <c r="AD298" i="1"/>
  <c r="AE298" i="1" s="1"/>
  <c r="AD300" i="1"/>
  <c r="AE300" i="1"/>
  <c r="AD302" i="1"/>
  <c r="AE302" i="1"/>
  <c r="AD309" i="1"/>
  <c r="AE309" i="1" s="1"/>
  <c r="AD319" i="1"/>
  <c r="AE319" i="1" s="1"/>
  <c r="AD322" i="1"/>
  <c r="AE322" i="1" s="1"/>
  <c r="AD328" i="1"/>
  <c r="AE328" i="1"/>
  <c r="AD329" i="1"/>
  <c r="AE329" i="1"/>
  <c r="AD332" i="1"/>
  <c r="AE332" i="1" s="1"/>
  <c r="AD344" i="1"/>
  <c r="AE344" i="1" s="1"/>
  <c r="AD346" i="1"/>
  <c r="AE346" i="1" s="1"/>
  <c r="AD348" i="1"/>
  <c r="AE348" i="1"/>
  <c r="AD358" i="1"/>
  <c r="AE358" i="1"/>
  <c r="AE359" i="1"/>
  <c r="AD359" i="1"/>
  <c r="AD364" i="1"/>
  <c r="AE364" i="1"/>
  <c r="AD365" i="1"/>
  <c r="AE365" i="1"/>
  <c r="AD366" i="1"/>
  <c r="AE366" i="1" s="1"/>
  <c r="AD370" i="1"/>
  <c r="AE370" i="1" s="1"/>
  <c r="AD377" i="1"/>
  <c r="AE377" i="1"/>
  <c r="AD379" i="1"/>
  <c r="AE379" i="1" s="1"/>
  <c r="AD380" i="1"/>
  <c r="AE380" i="1" s="1"/>
  <c r="AD383" i="1"/>
  <c r="AE3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NPC_</author>
  </authors>
  <commentList>
    <comment ref="V4" authorId="0" shapeId="0" xr:uid="{00000000-0006-0000-0300-000001000000}">
      <text>
        <r>
          <rPr>
            <b/>
            <sz val="18"/>
            <color indexed="81"/>
            <rFont val="Tahoma"/>
            <family val="2"/>
          </rPr>
          <t>ky son</t>
        </r>
        <r>
          <rPr>
            <sz val="18"/>
            <color indexed="81"/>
            <rFont val="Tahoma"/>
            <family val="2"/>
          </rPr>
          <t xml:space="preserve">
,poor shape,tension too loose,material, print trim, threaxd,etc</t>
        </r>
      </text>
    </comment>
  </commentList>
</comments>
</file>

<file path=xl/sharedStrings.xml><?xml version="1.0" encoding="utf-8"?>
<sst xmlns="http://schemas.openxmlformats.org/spreadsheetml/2006/main" count="1972" uniqueCount="111">
  <si>
    <t>D88592/ 905914 FA'26</t>
  </si>
  <si>
    <t>ON</t>
  </si>
  <si>
    <t>D88636/ 905456 FA'26</t>
  </si>
  <si>
    <t>D92321/ 908217 FA'26</t>
  </si>
  <si>
    <t>05N27CPA095/ 175583 Q1 S'27</t>
  </si>
  <si>
    <t>KMART</t>
  </si>
  <si>
    <t>D95036/ 908553 FA'26</t>
  </si>
  <si>
    <t>D16663/ 910112 FA'26</t>
  </si>
  <si>
    <t>D88828/ 903176 FA'26</t>
  </si>
  <si>
    <t>D88807/ 903178 FA'26</t>
  </si>
  <si>
    <t>D88631/ 905466 FA'26</t>
  </si>
  <si>
    <t>D40297/ 907786 FA'26</t>
  </si>
  <si>
    <t>D88690/ 905519 FA'26</t>
  </si>
  <si>
    <t>D78162/ 884123 FA'26</t>
  </si>
  <si>
    <t>D88698/ 905521 FA'26</t>
  </si>
  <si>
    <t>D91622/ 905468 FA'26</t>
  </si>
  <si>
    <t>D61815/ 784243 FA'26</t>
  </si>
  <si>
    <t>D78152/ 1172681/ 874425 FA'26</t>
  </si>
  <si>
    <t>D91794/ 908897 FA'26</t>
  </si>
  <si>
    <t>D63056/ 784248 FA'26</t>
  </si>
  <si>
    <t xml:space="preserve"> </t>
  </si>
  <si>
    <t>D91871/ 914677 FA'26</t>
  </si>
  <si>
    <t>D93851/ 903172 FA'26</t>
  </si>
  <si>
    <t>D63055/ 784247 FA'26</t>
  </si>
  <si>
    <t>D29924/ 1173245/ 884122 FA'26</t>
  </si>
  <si>
    <t>D63054/ 784253 FA'26</t>
  </si>
  <si>
    <t>D16868/ 903174 FA'26</t>
  </si>
  <si>
    <t>D41983/ 513891 FA'26</t>
  </si>
  <si>
    <t>D14491/ 908349 FA'26</t>
  </si>
  <si>
    <t>D65557/ 896176 FA'26</t>
  </si>
  <si>
    <t>Repair</t>
    <phoneticPr fontId="3" type="noConversion"/>
  </si>
  <si>
    <t>Defects %</t>
    <phoneticPr fontId="3" type="noConversion"/>
  </si>
  <si>
    <t>Total Q'ty Checked</t>
    <phoneticPr fontId="3" type="noConversion"/>
  </si>
  <si>
    <t>DEFECT IRON</t>
  </si>
  <si>
    <t>FAIL MEASURMENT</t>
    <phoneticPr fontId="3" type="noConversion"/>
  </si>
  <si>
    <t>PASS MEASURMENT</t>
    <phoneticPr fontId="3" type="noConversion"/>
  </si>
  <si>
    <t>Total Q'ty Inspected</t>
  </si>
  <si>
    <t>accepted</t>
  </si>
  <si>
    <t>Total Defects</t>
  </si>
  <si>
    <t>Shading</t>
  </si>
  <si>
    <t>Untrimed Thread End</t>
  </si>
  <si>
    <t>Mending</t>
  </si>
  <si>
    <t>Dirty Stain / Oil / Chalk mark</t>
  </si>
  <si>
    <t>Other Defect</t>
  </si>
  <si>
    <t>Needle Hole / Needle Mark / Needle Chew</t>
  </si>
  <si>
    <t>Missing QQ</t>
  </si>
  <si>
    <t>Overlap</t>
  </si>
  <si>
    <t>Defect Fabric</t>
  </si>
  <si>
    <t>Defect Stitching</t>
  </si>
  <si>
    <t>Improperly</t>
  </si>
  <si>
    <t>Poor Shape / Wavy</t>
  </si>
  <si>
    <t>Twisted / Fullness / Bubling</t>
  </si>
  <si>
    <t>Hi-lo / Misaglined / Un Match</t>
  </si>
  <si>
    <t>Slanted</t>
  </si>
  <si>
    <t>Puckering</t>
  </si>
  <si>
    <t>Missing Bartack / Missing tacking / Missing button hole</t>
  </si>
  <si>
    <t>Open Seam / Raw Edge</t>
  </si>
  <si>
    <t>Unfinish Stitch</t>
  </si>
  <si>
    <t>Run of Stitch</t>
  </si>
  <si>
    <t>Pleated</t>
  </si>
  <si>
    <t>Skip Stitch</t>
  </si>
  <si>
    <t>Broken Stitch</t>
  </si>
  <si>
    <t>LINE</t>
  </si>
  <si>
    <t>STYLE</t>
  </si>
  <si>
    <t>BUYER</t>
  </si>
  <si>
    <t>Date</t>
    <phoneticPr fontId="3" type="noConversion"/>
  </si>
  <si>
    <t>AFTER IRON</t>
    <phoneticPr fontId="3" type="noConversion"/>
  </si>
  <si>
    <t>BEFORE IRON</t>
  </si>
  <si>
    <t>Style</t>
  </si>
  <si>
    <t xml:space="preserve">Defect Rate Daily Production Endline Finishing Report  </t>
    <phoneticPr fontId="3" type="noConversion"/>
  </si>
  <si>
    <t>PT.DAE HAN GLOBAL 2</t>
  </si>
  <si>
    <t>FA'26</t>
  </si>
  <si>
    <t>D89070/ 1178007 FA'26</t>
  </si>
  <si>
    <t>GO</t>
  </si>
  <si>
    <t>Q1 S'27</t>
  </si>
  <si>
    <t>D63055/ 784248 FA'26</t>
  </si>
  <si>
    <t>05NS27CPA811/ 175806 Q1 S'27</t>
  </si>
  <si>
    <t>D78162 / 1173242 FA'26</t>
  </si>
  <si>
    <t>GAP</t>
  </si>
  <si>
    <t>D79084/ 909435 FA'26</t>
  </si>
  <si>
    <t>D78152/ 874425 FA'26</t>
  </si>
  <si>
    <t>D78162 / 914681 FA'26</t>
  </si>
  <si>
    <t>D78162 / 1179360 FA'26</t>
  </si>
  <si>
    <t>D78162/ 1173242 FA'26</t>
  </si>
  <si>
    <t>D91871/ 1179364 FA'26</t>
  </si>
  <si>
    <t>D29924 / 1173245 FA'26</t>
  </si>
  <si>
    <t>D29924/ 884122 FA'26</t>
  </si>
  <si>
    <t>Remarks</t>
  </si>
  <si>
    <t>Defects %</t>
  </si>
  <si>
    <t>Q'ty Accepted</t>
  </si>
  <si>
    <t>Misisng QQ</t>
  </si>
  <si>
    <t>Non Fungtional elastic</t>
  </si>
  <si>
    <t>Wrong size</t>
  </si>
  <si>
    <t>Deffect Stitching</t>
  </si>
  <si>
    <t>Deffect Fabric</t>
  </si>
  <si>
    <t>Unfinish stitching</t>
  </si>
  <si>
    <t>Poor shape/ Wavy</t>
  </si>
  <si>
    <t>Inproperly</t>
  </si>
  <si>
    <t>Run of stitch</t>
  </si>
  <si>
    <t>Twisted/ fullness/ bubbling</t>
  </si>
  <si>
    <t>Missing bartack/ Tacking</t>
  </si>
  <si>
    <t>Needle Mark/ Needle hole/ Needle Chew</t>
  </si>
  <si>
    <t>Hi-low /misaglined/ un match</t>
  </si>
  <si>
    <t>Dirty Stain/ Oil/ chalk mark</t>
  </si>
  <si>
    <t xml:space="preserve">Open seam/ raw edge </t>
  </si>
  <si>
    <t>Skip stitch</t>
  </si>
  <si>
    <t xml:space="preserve">Broken Stitch </t>
  </si>
  <si>
    <t>Untrimed</t>
  </si>
  <si>
    <t>DEFECT</t>
  </si>
  <si>
    <t xml:space="preserve">Defect Rate Daily Production Endline Sewing Report  </t>
  </si>
  <si>
    <t>PT.DAE HAN GLOBAL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</si>
</sst>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\ ddd"/>
    <numFmt numFmtId="177" formatCode="[$-409]d/mmm/yy;@"/>
    <numFmt numFmtId="178" formatCode="0.0%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22"/>
      <name val="맑은 고딕"/>
      <family val="1"/>
      <scheme val="major"/>
    </font>
    <font>
      <sz val="8"/>
      <name val="돋움"/>
      <family val="3"/>
      <charset val="129"/>
    </font>
    <font>
      <sz val="24"/>
      <name val="맑은 고딕"/>
      <family val="1"/>
      <scheme val="major"/>
    </font>
    <font>
      <sz val="11"/>
      <color theme="1"/>
      <name val="맑은 고딕"/>
      <family val="2"/>
      <scheme val="minor"/>
    </font>
    <font>
      <sz val="24"/>
      <color theme="1"/>
      <name val="맑은 고딕"/>
      <family val="1"/>
      <scheme val="major"/>
    </font>
    <font>
      <sz val="24"/>
      <name val="Arial"/>
      <family val="2"/>
    </font>
    <font>
      <sz val="45"/>
      <name val="맑은 고딕"/>
      <family val="1"/>
      <scheme val="major"/>
    </font>
    <font>
      <sz val="10"/>
      <name val="돋움"/>
      <family val="3"/>
      <charset val="129"/>
    </font>
    <font>
      <b/>
      <sz val="22"/>
      <name val="맑은 고딕"/>
      <family val="1"/>
      <scheme val="major"/>
    </font>
    <font>
      <b/>
      <sz val="24"/>
      <name val="맑은 고딕"/>
      <family val="1"/>
      <scheme val="major"/>
    </font>
    <font>
      <sz val="26"/>
      <name val="맑은 고딕"/>
      <family val="1"/>
      <scheme val="major"/>
    </font>
    <font>
      <b/>
      <sz val="26"/>
      <name val="맑은 고딕"/>
      <family val="1"/>
      <scheme val="major"/>
    </font>
    <font>
      <sz val="28"/>
      <name val="맑은 고딕"/>
      <family val="1"/>
      <scheme val="major"/>
    </font>
    <font>
      <b/>
      <sz val="28"/>
      <name val="맑은 고딕"/>
      <family val="1"/>
      <scheme val="major"/>
    </font>
    <font>
      <sz val="11"/>
      <name val="Arial"/>
      <family val="2"/>
    </font>
    <font>
      <sz val="18"/>
      <name val="Arial"/>
      <family val="2"/>
    </font>
    <font>
      <sz val="20"/>
      <name val="맑은 고딕"/>
      <family val="1"/>
      <scheme val="major"/>
    </font>
    <font>
      <sz val="20"/>
      <name val="Arial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9" fillId="0" borderId="0"/>
  </cellStyleXfs>
  <cellXfs count="85">
    <xf numFmtId="0" fontId="0" fillId="0" borderId="0" xfId="0">
      <alignment vertical="center"/>
    </xf>
    <xf numFmtId="0" fontId="2" fillId="2" borderId="0" xfId="0" applyFont="1" applyFill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0" fontId="2" fillId="2" borderId="0" xfId="0" applyNumberFormat="1" applyFont="1" applyFill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176" fontId="2" fillId="2" borderId="0" xfId="0" applyNumberFormat="1" applyFont="1" applyFill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Protection="1">
      <alignment vertical="center"/>
      <protection locked="0"/>
    </xf>
    <xf numFmtId="10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2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0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7" fontId="4" fillId="3" borderId="1" xfId="2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8" fillId="2" borderId="0" xfId="0" applyFont="1" applyFill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0" fillId="2" borderId="1" xfId="4" applyFont="1" applyFill="1" applyBorder="1" applyAlignment="1" applyProtection="1">
      <alignment horizontal="center" vertical="center" wrapText="1"/>
      <protection locked="0"/>
    </xf>
    <xf numFmtId="10" fontId="10" fillId="2" borderId="3" xfId="4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3" xfId="4" applyFont="1" applyFill="1" applyBorder="1" applyAlignment="1" applyProtection="1">
      <alignment horizontal="center" vertical="center" wrapText="1"/>
      <protection locked="0"/>
    </xf>
    <xf numFmtId="176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2" borderId="4" xfId="4" applyFont="1" applyFill="1" applyBorder="1" applyAlignment="1" applyProtection="1">
      <alignment horizontal="center" vertical="center"/>
      <protection locked="0"/>
    </xf>
    <xf numFmtId="0" fontId="13" fillId="2" borderId="5" xfId="4" applyFont="1" applyFill="1" applyBorder="1" applyAlignment="1" applyProtection="1">
      <alignment horizontal="center" vertical="center"/>
      <protection locked="0"/>
    </xf>
    <xf numFmtId="0" fontId="13" fillId="2" borderId="6" xfId="4" applyFont="1" applyFill="1" applyBorder="1" applyAlignment="1" applyProtection="1">
      <alignment horizontal="left" vertical="center"/>
      <protection locked="0"/>
    </xf>
    <xf numFmtId="0" fontId="13" fillId="2" borderId="4" xfId="4" applyFont="1" applyFill="1" applyBorder="1" applyAlignment="1" applyProtection="1">
      <alignment horizontal="left" vertical="center" wrapText="1"/>
      <protection locked="0"/>
    </xf>
    <xf numFmtId="0" fontId="13" fillId="2" borderId="5" xfId="4" applyFont="1" applyFill="1" applyBorder="1" applyAlignment="1" applyProtection="1">
      <alignment horizontal="left" vertical="center" wrapText="1"/>
      <protection locked="0"/>
    </xf>
    <xf numFmtId="0" fontId="13" fillId="2" borderId="6" xfId="4" applyFont="1" applyFill="1" applyBorder="1" applyAlignment="1" applyProtection="1">
      <alignment horizontal="left" vertical="center" wrapText="1"/>
      <protection locked="0"/>
    </xf>
    <xf numFmtId="176" fontId="12" fillId="2" borderId="0" xfId="0" applyNumberFormat="1" applyFont="1" applyFill="1" applyAlignment="1" applyProtection="1">
      <alignment horizontal="center" vertical="center"/>
      <protection locked="0"/>
    </xf>
    <xf numFmtId="0" fontId="10" fillId="2" borderId="7" xfId="4" applyFont="1" applyFill="1" applyBorder="1" applyProtection="1">
      <protection locked="0"/>
    </xf>
    <xf numFmtId="15" fontId="10" fillId="2" borderId="7" xfId="4" applyNumberFormat="1" applyFont="1" applyFill="1" applyBorder="1" applyProtection="1">
      <protection locked="0"/>
    </xf>
    <xf numFmtId="15" fontId="10" fillId="2" borderId="7" xfId="4" applyNumberFormat="1" applyFont="1" applyFill="1" applyBorder="1" applyAlignment="1" applyProtection="1">
      <alignment horizontal="center"/>
      <protection locked="0"/>
    </xf>
    <xf numFmtId="0" fontId="2" fillId="2" borderId="0" xfId="4" applyFont="1" applyFill="1" applyAlignment="1" applyProtection="1">
      <alignment horizontal="center"/>
      <protection locked="0"/>
    </xf>
    <xf numFmtId="0" fontId="14" fillId="2" borderId="0" xfId="0" applyFont="1" applyFill="1" applyProtection="1">
      <alignment vertical="center"/>
      <protection locked="0"/>
    </xf>
    <xf numFmtId="0" fontId="15" fillId="2" borderId="0" xfId="4" applyFont="1" applyFill="1" applyAlignment="1" applyProtection="1">
      <alignment horizontal="center" vertical="center"/>
      <protection locked="0"/>
    </xf>
    <xf numFmtId="0" fontId="15" fillId="2" borderId="0" xfId="4" applyFont="1" applyFill="1" applyAlignment="1" applyProtection="1">
      <alignment horizontal="centerContinuous" vertical="center"/>
      <protection locked="0"/>
    </xf>
    <xf numFmtId="10" fontId="15" fillId="2" borderId="0" xfId="4" applyNumberFormat="1" applyFont="1" applyFill="1" applyAlignment="1" applyProtection="1">
      <alignment horizontal="centerContinuous" vertical="center"/>
      <protection locked="0"/>
    </xf>
    <xf numFmtId="0" fontId="15" fillId="2" borderId="0" xfId="4" applyFont="1" applyFill="1" applyAlignment="1" applyProtection="1">
      <alignment horizontal="left" vertical="center"/>
      <protection locked="0"/>
    </xf>
    <xf numFmtId="176" fontId="14" fillId="2" borderId="0" xfId="0" applyNumberFormat="1" applyFont="1" applyFill="1" applyAlignment="1" applyProtection="1">
      <alignment horizontal="left" vertical="center"/>
      <protection locked="0"/>
    </xf>
    <xf numFmtId="0" fontId="14" fillId="2" borderId="0" xfId="0" applyFont="1" applyFill="1" applyAlignment="1" applyProtection="1">
      <alignment horizontal="center" vertical="center"/>
      <protection locked="0"/>
    </xf>
    <xf numFmtId="10" fontId="14" fillId="2" borderId="0" xfId="0" applyNumberFormat="1" applyFont="1" applyFill="1" applyProtection="1">
      <alignment vertical="center"/>
      <protection locked="0"/>
    </xf>
    <xf numFmtId="0" fontId="14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6" fillId="2" borderId="0" xfId="0" applyFont="1" applyFill="1" applyAlignment="1" applyProtection="1">
      <alignment horizontal="center" vertical="center" wrapText="1"/>
      <protection locked="0"/>
    </xf>
    <xf numFmtId="178" fontId="17" fillId="2" borderId="0" xfId="1" applyNumberFormat="1" applyFont="1" applyFill="1" applyAlignment="1">
      <alignment horizontal="center" vertical="center"/>
    </xf>
    <xf numFmtId="0" fontId="17" fillId="2" borderId="0" xfId="1" applyFont="1" applyFill="1" applyAlignment="1">
      <alignment horizontal="center" vertical="center"/>
    </xf>
    <xf numFmtId="176" fontId="17" fillId="2" borderId="0" xfId="2" applyNumberFormat="1" applyFont="1" applyFill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178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176" fontId="17" fillId="0" borderId="0" xfId="2" applyNumberFormat="1" applyFont="1" applyAlignment="1" applyProtection="1">
      <alignment horizontal="center" vertical="center"/>
      <protection locked="0"/>
    </xf>
    <xf numFmtId="0" fontId="18" fillId="0" borderId="0" xfId="0" applyFont="1" applyProtection="1">
      <alignment vertical="center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178" fontId="19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176" fontId="19" fillId="0" borderId="1" xfId="2" applyNumberFormat="1" applyFont="1" applyBorder="1" applyAlignment="1" applyProtection="1">
      <alignment horizontal="center" vertical="center"/>
      <protection locked="0"/>
    </xf>
    <xf numFmtId="0" fontId="18" fillId="3" borderId="0" xfId="0" applyFont="1" applyFill="1" applyProtection="1">
      <alignment vertical="center"/>
      <protection locked="0"/>
    </xf>
    <xf numFmtId="0" fontId="19" fillId="3" borderId="2" xfId="0" applyFont="1" applyFill="1" applyBorder="1" applyAlignment="1" applyProtection="1">
      <alignment horizontal="center" vertical="center" wrapText="1"/>
      <protection locked="0"/>
    </xf>
    <xf numFmtId="178" fontId="19" fillId="3" borderId="1" xfId="1" applyNumberFormat="1" applyFont="1" applyFill="1" applyBorder="1" applyAlignment="1">
      <alignment horizontal="center" vertical="center"/>
    </xf>
    <xf numFmtId="0" fontId="19" fillId="3" borderId="1" xfId="1" applyFont="1" applyFill="1" applyBorder="1" applyAlignment="1">
      <alignment horizontal="center" vertical="center"/>
    </xf>
    <xf numFmtId="176" fontId="19" fillId="3" borderId="1" xfId="2" applyNumberFormat="1" applyFont="1" applyFill="1" applyBorder="1" applyAlignment="1" applyProtection="1">
      <alignment horizontal="center" vertical="center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178" fontId="18" fillId="2" borderId="1" xfId="1" applyNumberFormat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 wrapText="1"/>
    </xf>
    <xf numFmtId="176" fontId="18" fillId="2" borderId="1" xfId="2" applyNumberFormat="1" applyFont="1" applyFill="1" applyBorder="1" applyAlignment="1" applyProtection="1">
      <alignment horizontal="center" vertical="center"/>
      <protection locked="0"/>
    </xf>
    <xf numFmtId="0" fontId="18" fillId="2" borderId="4" xfId="1" applyFont="1" applyFill="1" applyBorder="1" applyAlignment="1">
      <alignment horizontal="center" vertical="center"/>
    </xf>
    <xf numFmtId="0" fontId="18" fillId="2" borderId="5" xfId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center" vertical="center"/>
    </xf>
  </cellXfs>
  <cellStyles count="5">
    <cellStyle name="Normal 2 2" xfId="1" xr:uid="{3B6625A4-0B28-4F22-86AB-16C1739E72EB}"/>
    <cellStyle name="Normal 2 2 11" xfId="3" xr:uid="{E6005BB6-A79F-4B1C-91A9-C4BE56FC72F8}"/>
    <cellStyle name="표준" xfId="0" builtinId="0"/>
    <cellStyle name="표준 4" xfId="2" xr:uid="{297E05CD-A54E-449D-9B46-F90621037233}"/>
    <cellStyle name="표준_QA system reports for A" xfId="4" xr:uid="{F28C669A-25F0-4A92-84AF-5715371C4896}"/>
  </cellStyles>
  <dxfs count="4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8BB2-6CE6-4898-9479-3157930A6895}">
  <sheetPr>
    <tabColor rgb="FFFFFF00"/>
  </sheetPr>
  <dimension ref="A1:AF759"/>
  <sheetViews>
    <sheetView tabSelected="1" zoomScale="40" zoomScaleNormal="40" zoomScaleSheetLayoutView="40" workbookViewId="0">
      <pane ySplit="5" topLeftCell="A371" activePane="bottomLeft" state="frozen"/>
      <selection pane="bottomLeft" activeCell="C385" sqref="C385"/>
    </sheetView>
  </sheetViews>
  <sheetFormatPr defaultColWidth="8.8984375" defaultRowHeight="31.5" customHeight="1" x14ac:dyDescent="0.25"/>
  <cols>
    <col min="1" max="1" width="18.8984375" style="62" bestFit="1" customWidth="1"/>
    <col min="2" max="2" width="27.09765625" style="61" customWidth="1"/>
    <col min="3" max="3" width="66.3984375" style="61" bestFit="1" customWidth="1"/>
    <col min="4" max="4" width="12.796875" style="61" customWidth="1"/>
    <col min="5" max="5" width="18.296875" style="61" customWidth="1"/>
    <col min="6" max="18" width="27.19921875" style="61" customWidth="1"/>
    <col min="19" max="21" width="18.3984375" style="61" customWidth="1"/>
    <col min="22" max="27" width="17.796875" style="61" customWidth="1"/>
    <col min="28" max="30" width="19.8984375" style="61" customWidth="1"/>
    <col min="31" max="31" width="15.3984375" style="60" customWidth="1"/>
    <col min="32" max="32" width="16.19921875" style="59" customWidth="1"/>
    <col min="33" max="16384" width="8.8984375" style="58"/>
  </cols>
  <sheetData>
    <row r="1" spans="1:32" s="67" customFormat="1" ht="31.5" customHeight="1" x14ac:dyDescent="0.25">
      <c r="A1" s="84" t="s">
        <v>110</v>
      </c>
      <c r="B1" s="83"/>
      <c r="C1" s="83"/>
      <c r="D1" s="83"/>
      <c r="E1" s="83"/>
      <c r="F1" s="82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8"/>
      <c r="AF1" s="77"/>
    </row>
    <row r="2" spans="1:32" s="67" customFormat="1" ht="31.5" customHeight="1" x14ac:dyDescent="0.25">
      <c r="A2" s="84" t="s">
        <v>109</v>
      </c>
      <c r="B2" s="83"/>
      <c r="C2" s="83"/>
      <c r="D2" s="83"/>
      <c r="E2" s="83"/>
      <c r="F2" s="83"/>
      <c r="G2" s="83"/>
      <c r="H2" s="82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8"/>
      <c r="AF2" s="77"/>
    </row>
    <row r="3" spans="1:32" s="67" customFormat="1" ht="31.5" customHeight="1" x14ac:dyDescent="0.25">
      <c r="A3" s="81"/>
      <c r="B3" s="79" t="s">
        <v>64</v>
      </c>
      <c r="C3" s="79" t="s">
        <v>68</v>
      </c>
      <c r="D3" s="79" t="s">
        <v>62</v>
      </c>
      <c r="E3" s="79" t="s">
        <v>108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8"/>
      <c r="AF3" s="77"/>
    </row>
    <row r="4" spans="1:32" s="67" customFormat="1" ht="127.5" customHeight="1" x14ac:dyDescent="0.25">
      <c r="A4" s="81" t="s">
        <v>65</v>
      </c>
      <c r="B4" s="79" t="s">
        <v>64</v>
      </c>
      <c r="C4" s="79" t="s">
        <v>68</v>
      </c>
      <c r="D4" s="79" t="s">
        <v>62</v>
      </c>
      <c r="E4" s="80" t="s">
        <v>107</v>
      </c>
      <c r="F4" s="79" t="s">
        <v>106</v>
      </c>
      <c r="G4" s="79" t="s">
        <v>105</v>
      </c>
      <c r="H4" s="80" t="s">
        <v>104</v>
      </c>
      <c r="I4" s="79" t="s">
        <v>54</v>
      </c>
      <c r="J4" s="80" t="s">
        <v>103</v>
      </c>
      <c r="K4" s="80" t="s">
        <v>102</v>
      </c>
      <c r="L4" s="80" t="s">
        <v>101</v>
      </c>
      <c r="M4" s="79" t="s">
        <v>59</v>
      </c>
      <c r="N4" s="80" t="s">
        <v>100</v>
      </c>
      <c r="O4" s="80" t="s">
        <v>99</v>
      </c>
      <c r="P4" s="79" t="s">
        <v>98</v>
      </c>
      <c r="Q4" s="79" t="s">
        <v>53</v>
      </c>
      <c r="R4" s="79" t="s">
        <v>97</v>
      </c>
      <c r="S4" s="80" t="s">
        <v>96</v>
      </c>
      <c r="T4" s="80" t="s">
        <v>95</v>
      </c>
      <c r="U4" s="80" t="s">
        <v>94</v>
      </c>
      <c r="V4" s="80" t="s">
        <v>93</v>
      </c>
      <c r="W4" s="80" t="s">
        <v>92</v>
      </c>
      <c r="X4" s="80" t="s">
        <v>91</v>
      </c>
      <c r="Y4" s="80" t="s">
        <v>46</v>
      </c>
      <c r="Z4" s="80" t="s">
        <v>90</v>
      </c>
      <c r="AA4" s="80" t="s">
        <v>43</v>
      </c>
      <c r="AB4" s="79" t="s">
        <v>38</v>
      </c>
      <c r="AC4" s="79" t="s">
        <v>89</v>
      </c>
      <c r="AD4" s="79" t="s">
        <v>36</v>
      </c>
      <c r="AE4" s="78" t="s">
        <v>88</v>
      </c>
      <c r="AF4" s="77" t="s">
        <v>87</v>
      </c>
    </row>
    <row r="5" spans="1:32" s="67" customFormat="1" ht="62.25" customHeight="1" x14ac:dyDescent="0.25">
      <c r="A5" s="81"/>
      <c r="B5" s="79"/>
      <c r="C5" s="79"/>
      <c r="D5" s="79"/>
      <c r="E5" s="79"/>
      <c r="F5" s="79"/>
      <c r="G5" s="79"/>
      <c r="H5" s="79"/>
      <c r="I5" s="79"/>
      <c r="J5" s="79"/>
      <c r="K5" s="80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8"/>
      <c r="AF5" s="77"/>
    </row>
    <row r="6" spans="1:32" s="72" customFormat="1" ht="30" customHeight="1" x14ac:dyDescent="0.25">
      <c r="A6" s="76">
        <v>46142</v>
      </c>
      <c r="B6" s="75" t="s">
        <v>1</v>
      </c>
      <c r="C6" s="75" t="s">
        <v>26</v>
      </c>
      <c r="D6" s="75">
        <v>1</v>
      </c>
      <c r="E6" s="75">
        <v>51</v>
      </c>
      <c r="F6" s="75">
        <v>50</v>
      </c>
      <c r="G6" s="75">
        <v>5</v>
      </c>
      <c r="H6" s="75"/>
      <c r="I6" s="75">
        <v>24</v>
      </c>
      <c r="J6" s="75">
        <v>15</v>
      </c>
      <c r="K6" s="75"/>
      <c r="L6" s="75">
        <v>66</v>
      </c>
      <c r="M6" s="75"/>
      <c r="N6" s="75"/>
      <c r="O6" s="75">
        <v>13</v>
      </c>
      <c r="P6" s="75"/>
      <c r="Q6" s="75"/>
      <c r="R6" s="75"/>
      <c r="S6" s="75"/>
      <c r="T6" s="75">
        <v>41</v>
      </c>
      <c r="U6" s="75"/>
      <c r="V6" s="75">
        <f>23+15</f>
        <v>38</v>
      </c>
      <c r="W6" s="75"/>
      <c r="X6" s="75"/>
      <c r="Y6" s="75"/>
      <c r="Z6" s="75"/>
      <c r="AA6" s="75"/>
      <c r="AB6" s="75">
        <f>SUM(E6:AA6)</f>
        <v>303</v>
      </c>
      <c r="AC6" s="75">
        <f>AD6-AB6</f>
        <v>560</v>
      </c>
      <c r="AD6" s="75">
        <f>303+560</f>
        <v>863</v>
      </c>
      <c r="AE6" s="74">
        <f>(AB6/AD6)</f>
        <v>0.35110081112398611</v>
      </c>
      <c r="AF6" s="73" t="s">
        <v>71</v>
      </c>
    </row>
    <row r="7" spans="1:32" s="67" customFormat="1" ht="30" customHeight="1" x14ac:dyDescent="0.25">
      <c r="A7" s="71">
        <v>46142</v>
      </c>
      <c r="B7" s="70" t="s">
        <v>78</v>
      </c>
      <c r="C7" s="70" t="s">
        <v>21</v>
      </c>
      <c r="D7" s="70">
        <v>2</v>
      </c>
      <c r="E7" s="70">
        <v>230</v>
      </c>
      <c r="F7" s="70">
        <v>55</v>
      </c>
      <c r="G7" s="70">
        <v>30</v>
      </c>
      <c r="H7" s="70">
        <v>35</v>
      </c>
      <c r="I7" s="70"/>
      <c r="J7" s="70"/>
      <c r="K7" s="70"/>
      <c r="L7" s="70"/>
      <c r="M7" s="70">
        <v>90</v>
      </c>
      <c r="N7" s="70">
        <v>20</v>
      </c>
      <c r="O7" s="70"/>
      <c r="P7" s="70">
        <v>150</v>
      </c>
      <c r="Q7" s="70">
        <v>70</v>
      </c>
      <c r="R7" s="70">
        <v>50</v>
      </c>
      <c r="S7" s="70"/>
      <c r="T7" s="70">
        <v>50</v>
      </c>
      <c r="U7" s="70"/>
      <c r="V7" s="70">
        <v>140</v>
      </c>
      <c r="W7" s="70"/>
      <c r="X7" s="70"/>
      <c r="Y7" s="70"/>
      <c r="Z7" s="70"/>
      <c r="AA7" s="70"/>
      <c r="AB7" s="70">
        <f>SUM(E7:AA7)</f>
        <v>920</v>
      </c>
      <c r="AC7" s="70">
        <f>AD7-AB7</f>
        <v>1155</v>
      </c>
      <c r="AD7" s="70">
        <f>920+1155</f>
        <v>2075</v>
      </c>
      <c r="AE7" s="69">
        <f>(AB7/AD7)</f>
        <v>0.44337349397590359</v>
      </c>
      <c r="AF7" s="68" t="s">
        <v>71</v>
      </c>
    </row>
    <row r="8" spans="1:32" s="67" customFormat="1" ht="30" customHeight="1" x14ac:dyDescent="0.25">
      <c r="A8" s="71">
        <v>46142</v>
      </c>
      <c r="B8" s="70" t="s">
        <v>1</v>
      </c>
      <c r="C8" s="70" t="s">
        <v>9</v>
      </c>
      <c r="D8" s="70">
        <v>3</v>
      </c>
      <c r="E8" s="70">
        <v>22</v>
      </c>
      <c r="F8" s="70">
        <v>17</v>
      </c>
      <c r="G8" s="70"/>
      <c r="H8" s="70">
        <v>16</v>
      </c>
      <c r="I8" s="70">
        <v>11</v>
      </c>
      <c r="J8" s="70">
        <v>2</v>
      </c>
      <c r="K8" s="70">
        <v>21</v>
      </c>
      <c r="L8" s="70"/>
      <c r="M8" s="70">
        <v>55</v>
      </c>
      <c r="N8" s="70"/>
      <c r="O8" s="70">
        <v>8</v>
      </c>
      <c r="P8" s="70">
        <v>24</v>
      </c>
      <c r="Q8" s="70"/>
      <c r="R8" s="70"/>
      <c r="S8" s="70">
        <v>10</v>
      </c>
      <c r="T8" s="70">
        <v>9</v>
      </c>
      <c r="U8" s="70"/>
      <c r="V8" s="70">
        <f>19+18+27</f>
        <v>64</v>
      </c>
      <c r="W8" s="70"/>
      <c r="X8" s="70"/>
      <c r="Y8" s="70"/>
      <c r="Z8" s="70"/>
      <c r="AA8" s="70"/>
      <c r="AB8" s="70">
        <f>SUM(E8:AA8)</f>
        <v>259</v>
      </c>
      <c r="AC8" s="70">
        <f>AD8-AB8</f>
        <v>640</v>
      </c>
      <c r="AD8" s="70">
        <f>259+640</f>
        <v>899</v>
      </c>
      <c r="AE8" s="69">
        <f>(AB8/AD8)</f>
        <v>0.28809788654060065</v>
      </c>
      <c r="AF8" s="68" t="s">
        <v>71</v>
      </c>
    </row>
    <row r="9" spans="1:32" s="67" customFormat="1" ht="30" customHeight="1" x14ac:dyDescent="0.25">
      <c r="A9" s="71">
        <v>46142</v>
      </c>
      <c r="B9" s="70" t="s">
        <v>1</v>
      </c>
      <c r="C9" s="70" t="s">
        <v>28</v>
      </c>
      <c r="D9" s="70">
        <v>4</v>
      </c>
      <c r="E9" s="70">
        <v>45</v>
      </c>
      <c r="F9" s="70">
        <v>5</v>
      </c>
      <c r="G9" s="70">
        <v>10</v>
      </c>
      <c r="H9" s="70"/>
      <c r="I9" s="70"/>
      <c r="J9" s="70"/>
      <c r="K9" s="70"/>
      <c r="L9" s="70">
        <v>70</v>
      </c>
      <c r="M9" s="70">
        <v>175</v>
      </c>
      <c r="N9" s="70"/>
      <c r="O9" s="70"/>
      <c r="P9" s="70"/>
      <c r="Q9" s="70"/>
      <c r="R9" s="70"/>
      <c r="S9" s="70"/>
      <c r="T9" s="70"/>
      <c r="U9" s="70"/>
      <c r="V9" s="70">
        <f>53+30</f>
        <v>83</v>
      </c>
      <c r="W9" s="70"/>
      <c r="X9" s="70"/>
      <c r="Y9" s="70"/>
      <c r="Z9" s="70"/>
      <c r="AA9" s="70">
        <v>10</v>
      </c>
      <c r="AB9" s="70">
        <f>SUM(E9:AA9)</f>
        <v>398</v>
      </c>
      <c r="AC9" s="70">
        <f>AD9-AB9</f>
        <v>1200</v>
      </c>
      <c r="AD9" s="70">
        <f>398+1200</f>
        <v>1598</v>
      </c>
      <c r="AE9" s="69">
        <f>(AB9/AD9)</f>
        <v>0.2490613266583229</v>
      </c>
      <c r="AF9" s="68" t="s">
        <v>71</v>
      </c>
    </row>
    <row r="10" spans="1:32" s="67" customFormat="1" ht="30" customHeight="1" x14ac:dyDescent="0.25">
      <c r="A10" s="71">
        <v>46142</v>
      </c>
      <c r="B10" s="70" t="s">
        <v>1</v>
      </c>
      <c r="C10" s="70" t="s">
        <v>16</v>
      </c>
      <c r="D10" s="70">
        <v>5</v>
      </c>
      <c r="E10" s="70">
        <v>217</v>
      </c>
      <c r="F10" s="70">
        <v>106</v>
      </c>
      <c r="G10" s="70">
        <v>24</v>
      </c>
      <c r="H10" s="70">
        <v>50</v>
      </c>
      <c r="I10" s="70">
        <v>40</v>
      </c>
      <c r="J10" s="70"/>
      <c r="K10" s="70"/>
      <c r="L10" s="70"/>
      <c r="M10" s="70">
        <v>271</v>
      </c>
      <c r="N10" s="70"/>
      <c r="O10" s="70"/>
      <c r="P10" s="70">
        <v>310</v>
      </c>
      <c r="Q10" s="70"/>
      <c r="R10" s="70">
        <v>97</v>
      </c>
      <c r="S10" s="70"/>
      <c r="T10" s="70"/>
      <c r="U10" s="70"/>
      <c r="V10" s="70">
        <v>185</v>
      </c>
      <c r="W10" s="70"/>
      <c r="X10" s="70"/>
      <c r="Y10" s="70"/>
      <c r="Z10" s="70"/>
      <c r="AA10" s="70"/>
      <c r="AB10" s="70">
        <f>SUM(E10:AA10)</f>
        <v>1300</v>
      </c>
      <c r="AC10" s="70">
        <f>AD10-AB10</f>
        <v>1552</v>
      </c>
      <c r="AD10" s="70">
        <f>1300+1552</f>
        <v>2852</v>
      </c>
      <c r="AE10" s="69">
        <f>(AB10/AD10)</f>
        <v>0.45582047685834504</v>
      </c>
      <c r="AF10" s="68" t="s">
        <v>71</v>
      </c>
    </row>
    <row r="11" spans="1:32" s="67" customFormat="1" ht="30" customHeight="1" x14ac:dyDescent="0.25">
      <c r="A11" s="71">
        <v>46142</v>
      </c>
      <c r="B11" s="70" t="s">
        <v>1</v>
      </c>
      <c r="C11" s="70" t="s">
        <v>15</v>
      </c>
      <c r="D11" s="70">
        <v>6</v>
      </c>
      <c r="E11" s="70">
        <v>187</v>
      </c>
      <c r="F11" s="70">
        <v>22</v>
      </c>
      <c r="G11" s="70">
        <v>30</v>
      </c>
      <c r="H11" s="70">
        <v>75</v>
      </c>
      <c r="I11" s="70"/>
      <c r="J11" s="70">
        <v>10</v>
      </c>
      <c r="K11" s="70"/>
      <c r="L11" s="70"/>
      <c r="M11" s="70">
        <v>77</v>
      </c>
      <c r="N11" s="70">
        <v>27</v>
      </c>
      <c r="O11" s="70"/>
      <c r="P11" s="70">
        <v>132</v>
      </c>
      <c r="Q11" s="70"/>
      <c r="R11" s="70">
        <v>33</v>
      </c>
      <c r="S11" s="70">
        <v>5</v>
      </c>
      <c r="T11" s="70">
        <v>7</v>
      </c>
      <c r="U11" s="70"/>
      <c r="V11" s="70">
        <f>113+5+5+15</f>
        <v>138</v>
      </c>
      <c r="W11" s="70"/>
      <c r="X11" s="70"/>
      <c r="Y11" s="70">
        <v>42</v>
      </c>
      <c r="Z11" s="70"/>
      <c r="AA11" s="70"/>
      <c r="AB11" s="70">
        <f>SUM(E11:AA11)</f>
        <v>785</v>
      </c>
      <c r="AC11" s="70">
        <f>AD11-AB11</f>
        <v>1120</v>
      </c>
      <c r="AD11" s="70">
        <f>785+1120</f>
        <v>1905</v>
      </c>
      <c r="AE11" s="69">
        <f>(AB11/AD11)</f>
        <v>0.4120734908136483</v>
      </c>
      <c r="AF11" s="68" t="s">
        <v>71</v>
      </c>
    </row>
    <row r="12" spans="1:32" s="67" customFormat="1" ht="30" customHeight="1" x14ac:dyDescent="0.25">
      <c r="A12" s="71">
        <v>46142</v>
      </c>
      <c r="B12" s="70" t="s">
        <v>73</v>
      </c>
      <c r="C12" s="70" t="s">
        <v>27</v>
      </c>
      <c r="D12" s="70">
        <v>7</v>
      </c>
      <c r="E12" s="70">
        <v>105</v>
      </c>
      <c r="F12" s="70">
        <v>35</v>
      </c>
      <c r="G12" s="70"/>
      <c r="H12" s="70">
        <v>10</v>
      </c>
      <c r="I12" s="70">
        <v>10</v>
      </c>
      <c r="J12" s="70"/>
      <c r="K12" s="70"/>
      <c r="L12" s="70"/>
      <c r="M12" s="70">
        <v>30</v>
      </c>
      <c r="N12" s="70">
        <v>5</v>
      </c>
      <c r="O12" s="70">
        <v>5</v>
      </c>
      <c r="P12" s="70">
        <v>15</v>
      </c>
      <c r="Q12" s="70"/>
      <c r="R12" s="70">
        <v>10</v>
      </c>
      <c r="S12" s="70">
        <v>70</v>
      </c>
      <c r="T12" s="70">
        <v>10</v>
      </c>
      <c r="U12" s="70"/>
      <c r="V12" s="70">
        <f>50+25+10</f>
        <v>85</v>
      </c>
      <c r="W12" s="70"/>
      <c r="X12" s="70"/>
      <c r="Y12" s="70"/>
      <c r="Z12" s="70"/>
      <c r="AA12" s="70"/>
      <c r="AB12" s="70">
        <f>SUM(E12:AA12)</f>
        <v>390</v>
      </c>
      <c r="AC12" s="70">
        <f>AD12-AB12</f>
        <v>1044</v>
      </c>
      <c r="AD12" s="70">
        <f>390+1044</f>
        <v>1434</v>
      </c>
      <c r="AE12" s="69">
        <f>(AB12/AD12)</f>
        <v>0.27196652719665271</v>
      </c>
      <c r="AF12" s="68" t="s">
        <v>71</v>
      </c>
    </row>
    <row r="13" spans="1:32" s="67" customFormat="1" ht="30" customHeight="1" x14ac:dyDescent="0.25">
      <c r="A13" s="71">
        <v>46142</v>
      </c>
      <c r="B13" s="70" t="s">
        <v>73</v>
      </c>
      <c r="C13" s="70" t="s">
        <v>83</v>
      </c>
      <c r="D13" s="70">
        <v>8</v>
      </c>
      <c r="E13" s="70">
        <v>109</v>
      </c>
      <c r="F13" s="70">
        <v>73</v>
      </c>
      <c r="G13" s="70">
        <v>26</v>
      </c>
      <c r="H13" s="70">
        <v>61</v>
      </c>
      <c r="I13" s="70">
        <v>8</v>
      </c>
      <c r="J13" s="70"/>
      <c r="K13" s="70"/>
      <c r="L13" s="70"/>
      <c r="M13" s="70">
        <v>37</v>
      </c>
      <c r="N13" s="70">
        <v>3</v>
      </c>
      <c r="O13" s="70">
        <v>5</v>
      </c>
      <c r="P13" s="70">
        <v>64</v>
      </c>
      <c r="Q13" s="70">
        <v>11</v>
      </c>
      <c r="R13" s="70"/>
      <c r="S13" s="70"/>
      <c r="T13" s="70">
        <v>74</v>
      </c>
      <c r="U13" s="70"/>
      <c r="V13" s="70">
        <v>111</v>
      </c>
      <c r="W13" s="70"/>
      <c r="X13" s="70"/>
      <c r="Y13" s="70">
        <v>7</v>
      </c>
      <c r="Z13" s="70"/>
      <c r="AA13" s="70"/>
      <c r="AB13" s="70">
        <f>SUM(E13:AA13)</f>
        <v>589</v>
      </c>
      <c r="AC13" s="70">
        <f>AD13-AB13</f>
        <v>840</v>
      </c>
      <c r="AD13" s="70">
        <f>589+840</f>
        <v>1429</v>
      </c>
      <c r="AE13" s="69">
        <f>(AB13/AD13)</f>
        <v>0.41217634709587125</v>
      </c>
      <c r="AF13" s="68" t="s">
        <v>71</v>
      </c>
    </row>
    <row r="14" spans="1:32" s="67" customFormat="1" ht="30" customHeight="1" x14ac:dyDescent="0.25">
      <c r="A14" s="71">
        <v>46142</v>
      </c>
      <c r="B14" s="70" t="s">
        <v>1</v>
      </c>
      <c r="C14" s="70" t="s">
        <v>12</v>
      </c>
      <c r="D14" s="70">
        <v>9</v>
      </c>
      <c r="E14" s="70">
        <f>36+24+55+10+7+32</f>
        <v>164</v>
      </c>
      <c r="F14" s="70">
        <f>15+8+10+6</f>
        <v>39</v>
      </c>
      <c r="G14" s="70">
        <f>19+22+10+3+7</f>
        <v>61</v>
      </c>
      <c r="H14" s="70">
        <f>5+20+22+7+10</f>
        <v>64</v>
      </c>
      <c r="I14" s="70">
        <f>10+5+5</f>
        <v>20</v>
      </c>
      <c r="J14" s="70">
        <f>5+5</f>
        <v>10</v>
      </c>
      <c r="K14" s="70"/>
      <c r="L14" s="70"/>
      <c r="M14" s="70">
        <f>12+15+23+16+11+5</f>
        <v>82</v>
      </c>
      <c r="N14" s="70">
        <f>15</f>
        <v>15</v>
      </c>
      <c r="O14" s="70">
        <f>20</f>
        <v>20</v>
      </c>
      <c r="P14" s="70">
        <f>17+10</f>
        <v>27</v>
      </c>
      <c r="Q14" s="70"/>
      <c r="R14" s="70"/>
      <c r="S14" s="70"/>
      <c r="T14" s="70">
        <f>14</f>
        <v>14</v>
      </c>
      <c r="U14" s="70"/>
      <c r="V14" s="70">
        <f>25+43+10+5</f>
        <v>83</v>
      </c>
      <c r="W14" s="70"/>
      <c r="X14" s="70"/>
      <c r="Y14" s="70">
        <f>7+45</f>
        <v>52</v>
      </c>
      <c r="Z14" s="70"/>
      <c r="AA14" s="70"/>
      <c r="AB14" s="70">
        <f>SUM(E14:AA14)</f>
        <v>651</v>
      </c>
      <c r="AC14" s="70">
        <f>AD14-AB14</f>
        <v>1484</v>
      </c>
      <c r="AD14" s="70">
        <f>651+1484</f>
        <v>2135</v>
      </c>
      <c r="AE14" s="69">
        <f>(AB14/AD14)</f>
        <v>0.30491803278688523</v>
      </c>
      <c r="AF14" s="68" t="s">
        <v>71</v>
      </c>
    </row>
    <row r="15" spans="1:32" s="67" customFormat="1" ht="30" customHeight="1" x14ac:dyDescent="0.25">
      <c r="A15" s="71">
        <v>46142</v>
      </c>
      <c r="B15" s="70" t="s">
        <v>1</v>
      </c>
      <c r="C15" s="70" t="s">
        <v>0</v>
      </c>
      <c r="D15" s="70">
        <v>10</v>
      </c>
      <c r="E15" s="70">
        <v>77</v>
      </c>
      <c r="F15" s="70">
        <v>3</v>
      </c>
      <c r="G15" s="70">
        <v>9</v>
      </c>
      <c r="H15" s="70"/>
      <c r="I15" s="70"/>
      <c r="J15" s="70">
        <v>22</v>
      </c>
      <c r="K15" s="70"/>
      <c r="L15" s="70">
        <v>7</v>
      </c>
      <c r="M15" s="70"/>
      <c r="N15" s="70"/>
      <c r="O15" s="70">
        <v>8</v>
      </c>
      <c r="P15" s="70">
        <v>5</v>
      </c>
      <c r="Q15" s="70"/>
      <c r="R15" s="70"/>
      <c r="S15" s="70"/>
      <c r="T15" s="70"/>
      <c r="U15" s="70"/>
      <c r="V15" s="70">
        <f>28+62</f>
        <v>90</v>
      </c>
      <c r="W15" s="70"/>
      <c r="X15" s="70"/>
      <c r="Y15" s="70"/>
      <c r="Z15" s="70"/>
      <c r="AA15" s="70"/>
      <c r="AB15" s="70">
        <f>SUM(E15:AA15)</f>
        <v>221</v>
      </c>
      <c r="AC15" s="70">
        <f>AD15-AB15</f>
        <v>464</v>
      </c>
      <c r="AD15" s="70">
        <f>221+464</f>
        <v>685</v>
      </c>
      <c r="AE15" s="69">
        <f>(AB15/AD15)</f>
        <v>0.32262773722627736</v>
      </c>
      <c r="AF15" s="68" t="s">
        <v>71</v>
      </c>
    </row>
    <row r="16" spans="1:32" s="67" customFormat="1" ht="30" customHeight="1" x14ac:dyDescent="0.25">
      <c r="A16" s="71">
        <v>46142</v>
      </c>
      <c r="B16" s="70" t="s">
        <v>1</v>
      </c>
      <c r="C16" s="70" t="s">
        <v>10</v>
      </c>
      <c r="D16" s="70">
        <v>11</v>
      </c>
      <c r="E16" s="70">
        <v>112</v>
      </c>
      <c r="F16" s="70">
        <v>35</v>
      </c>
      <c r="G16" s="70"/>
      <c r="H16" s="70">
        <v>6</v>
      </c>
      <c r="I16" s="70"/>
      <c r="J16" s="70">
        <v>20</v>
      </c>
      <c r="K16" s="70"/>
      <c r="L16" s="70"/>
      <c r="M16" s="70">
        <v>51</v>
      </c>
      <c r="N16" s="70"/>
      <c r="O16" s="70"/>
      <c r="P16" s="70">
        <v>37</v>
      </c>
      <c r="Q16" s="70"/>
      <c r="R16" s="70">
        <v>18</v>
      </c>
      <c r="S16" s="70"/>
      <c r="T16" s="70">
        <v>35</v>
      </c>
      <c r="U16" s="70"/>
      <c r="V16" s="70">
        <f>19+20+22</f>
        <v>61</v>
      </c>
      <c r="W16" s="70"/>
      <c r="X16" s="70"/>
      <c r="Y16" s="70"/>
      <c r="Z16" s="70"/>
      <c r="AA16" s="70"/>
      <c r="AB16" s="70">
        <f>SUM(E16:AA16)</f>
        <v>375</v>
      </c>
      <c r="AC16" s="70">
        <f>AD16-AB16</f>
        <v>864</v>
      </c>
      <c r="AD16" s="70">
        <f>375+864</f>
        <v>1239</v>
      </c>
      <c r="AE16" s="69">
        <f>(AB16/AD16)</f>
        <v>0.30266343825665859</v>
      </c>
      <c r="AF16" s="68" t="s">
        <v>71</v>
      </c>
    </row>
    <row r="17" spans="1:32" s="67" customFormat="1" ht="30" customHeight="1" x14ac:dyDescent="0.25">
      <c r="A17" s="71">
        <v>46142</v>
      </c>
      <c r="B17" s="70" t="s">
        <v>78</v>
      </c>
      <c r="C17" s="70" t="s">
        <v>18</v>
      </c>
      <c r="D17" s="70">
        <v>13</v>
      </c>
      <c r="E17" s="70">
        <v>143</v>
      </c>
      <c r="F17" s="70"/>
      <c r="G17" s="70">
        <v>76</v>
      </c>
      <c r="H17" s="70">
        <v>39</v>
      </c>
      <c r="I17" s="70">
        <v>27</v>
      </c>
      <c r="J17" s="70"/>
      <c r="K17" s="70"/>
      <c r="L17" s="70"/>
      <c r="M17" s="70">
        <v>72</v>
      </c>
      <c r="N17" s="70"/>
      <c r="O17" s="70">
        <v>51</v>
      </c>
      <c r="P17" s="70">
        <v>70</v>
      </c>
      <c r="Q17" s="70"/>
      <c r="R17" s="70">
        <v>11</v>
      </c>
      <c r="S17" s="70"/>
      <c r="T17" s="70">
        <v>28</v>
      </c>
      <c r="U17" s="70"/>
      <c r="V17" s="70">
        <f>55+70+8</f>
        <v>133</v>
      </c>
      <c r="W17" s="70"/>
      <c r="X17" s="70"/>
      <c r="Y17" s="70"/>
      <c r="Z17" s="70"/>
      <c r="AA17" s="70"/>
      <c r="AB17" s="70">
        <f>SUM(E17:AA17)</f>
        <v>650</v>
      </c>
      <c r="AC17" s="70">
        <f>AD17-AB17</f>
        <v>1440</v>
      </c>
      <c r="AD17" s="70">
        <f>650+1440</f>
        <v>2090</v>
      </c>
      <c r="AE17" s="69">
        <f>(AB17/AD17)</f>
        <v>0.31100478468899523</v>
      </c>
      <c r="AF17" s="68" t="s">
        <v>71</v>
      </c>
    </row>
    <row r="18" spans="1:32" s="67" customFormat="1" ht="30" customHeight="1" x14ac:dyDescent="0.25">
      <c r="A18" s="71">
        <v>46142</v>
      </c>
      <c r="B18" s="70" t="s">
        <v>1</v>
      </c>
      <c r="C18" s="70" t="s">
        <v>8</v>
      </c>
      <c r="D18" s="70">
        <v>14</v>
      </c>
      <c r="E18" s="70">
        <v>37</v>
      </c>
      <c r="F18" s="70">
        <v>21</v>
      </c>
      <c r="G18" s="70">
        <v>4</v>
      </c>
      <c r="H18" s="70"/>
      <c r="I18" s="70"/>
      <c r="J18" s="70"/>
      <c r="K18" s="70">
        <v>9</v>
      </c>
      <c r="L18" s="70">
        <v>18</v>
      </c>
      <c r="M18" s="70">
        <v>55</v>
      </c>
      <c r="N18" s="70"/>
      <c r="O18" s="70">
        <v>15</v>
      </c>
      <c r="P18" s="70">
        <v>20</v>
      </c>
      <c r="Q18" s="70"/>
      <c r="R18" s="70"/>
      <c r="S18" s="70"/>
      <c r="T18" s="70">
        <v>15</v>
      </c>
      <c r="U18" s="70"/>
      <c r="V18" s="70">
        <f>4+5+5</f>
        <v>14</v>
      </c>
      <c r="W18" s="70"/>
      <c r="X18" s="70"/>
      <c r="Y18" s="70"/>
      <c r="Z18" s="70"/>
      <c r="AA18" s="70">
        <f>8+12</f>
        <v>20</v>
      </c>
      <c r="AB18" s="70">
        <f>SUM(E18:AA18)</f>
        <v>228</v>
      </c>
      <c r="AC18" s="70">
        <f>AD18-AB18</f>
        <v>640</v>
      </c>
      <c r="AD18" s="70">
        <f>228+640</f>
        <v>868</v>
      </c>
      <c r="AE18" s="69">
        <f>(AB18/AD18)</f>
        <v>0.26267281105990781</v>
      </c>
      <c r="AF18" s="68" t="s">
        <v>71</v>
      </c>
    </row>
    <row r="19" spans="1:32" s="67" customFormat="1" ht="30" customHeight="1" x14ac:dyDescent="0.25">
      <c r="A19" s="71">
        <v>46142</v>
      </c>
      <c r="B19" s="70" t="s">
        <v>73</v>
      </c>
      <c r="C19" s="70" t="s">
        <v>7</v>
      </c>
      <c r="D19" s="70">
        <v>15</v>
      </c>
      <c r="E19" s="70">
        <v>8</v>
      </c>
      <c r="F19" s="70">
        <v>22</v>
      </c>
      <c r="G19" s="70"/>
      <c r="H19" s="70"/>
      <c r="I19" s="70"/>
      <c r="J19" s="70"/>
      <c r="K19" s="70">
        <v>6</v>
      </c>
      <c r="L19" s="70">
        <v>8</v>
      </c>
      <c r="M19" s="70">
        <v>33</v>
      </c>
      <c r="N19" s="70"/>
      <c r="O19" s="70"/>
      <c r="P19" s="70"/>
      <c r="Q19" s="70"/>
      <c r="R19" s="70"/>
      <c r="S19" s="70"/>
      <c r="T19" s="70"/>
      <c r="U19" s="70"/>
      <c r="V19" s="70">
        <v>3</v>
      </c>
      <c r="W19" s="70"/>
      <c r="X19" s="70"/>
      <c r="Y19" s="70"/>
      <c r="Z19" s="70"/>
      <c r="AA19" s="70"/>
      <c r="AB19" s="70">
        <f>SUM(E19:AA19)</f>
        <v>80</v>
      </c>
      <c r="AC19" s="70">
        <f>AD19-AB19</f>
        <v>114</v>
      </c>
      <c r="AD19" s="70">
        <f>80+114</f>
        <v>194</v>
      </c>
      <c r="AE19" s="69">
        <f>(AB19/AD19)</f>
        <v>0.41237113402061853</v>
      </c>
      <c r="AF19" s="68" t="s">
        <v>71</v>
      </c>
    </row>
    <row r="20" spans="1:32" s="67" customFormat="1" ht="30" customHeight="1" x14ac:dyDescent="0.25">
      <c r="A20" s="71">
        <v>46142</v>
      </c>
      <c r="B20" s="70" t="s">
        <v>1</v>
      </c>
      <c r="C20" s="70" t="s">
        <v>10</v>
      </c>
      <c r="D20" s="70">
        <v>16</v>
      </c>
      <c r="E20" s="70">
        <v>125</v>
      </c>
      <c r="F20" s="70">
        <v>37</v>
      </c>
      <c r="G20" s="70">
        <v>36</v>
      </c>
      <c r="H20" s="70">
        <v>14</v>
      </c>
      <c r="I20" s="70"/>
      <c r="J20" s="70"/>
      <c r="K20" s="70">
        <v>4</v>
      </c>
      <c r="L20" s="70"/>
      <c r="M20" s="70">
        <v>69</v>
      </c>
      <c r="N20" s="70"/>
      <c r="O20" s="70"/>
      <c r="P20" s="70">
        <v>43</v>
      </c>
      <c r="Q20" s="70"/>
      <c r="R20" s="70">
        <v>9</v>
      </c>
      <c r="S20" s="70"/>
      <c r="T20" s="70">
        <v>45</v>
      </c>
      <c r="U20" s="70"/>
      <c r="V20" s="70">
        <v>15</v>
      </c>
      <c r="W20" s="70"/>
      <c r="X20" s="70"/>
      <c r="Y20" s="70"/>
      <c r="Z20" s="70"/>
      <c r="AA20" s="70">
        <f>13+31</f>
        <v>44</v>
      </c>
      <c r="AB20" s="70">
        <f>SUM(E20:AA20)</f>
        <v>441</v>
      </c>
      <c r="AC20" s="70">
        <f>AD20-AB20</f>
        <v>880</v>
      </c>
      <c r="AD20" s="70">
        <f>441+880</f>
        <v>1321</v>
      </c>
      <c r="AE20" s="69">
        <f>(AB20/AD20)</f>
        <v>0.33383800151400456</v>
      </c>
      <c r="AF20" s="68" t="s">
        <v>71</v>
      </c>
    </row>
    <row r="21" spans="1:32" s="67" customFormat="1" ht="30" customHeight="1" x14ac:dyDescent="0.25">
      <c r="A21" s="71">
        <v>46142</v>
      </c>
      <c r="B21" s="70" t="s">
        <v>73</v>
      </c>
      <c r="C21" s="70" t="s">
        <v>12</v>
      </c>
      <c r="D21" s="70">
        <v>17</v>
      </c>
      <c r="E21" s="70">
        <v>94</v>
      </c>
      <c r="F21" s="70">
        <v>2</v>
      </c>
      <c r="G21" s="70">
        <v>7</v>
      </c>
      <c r="H21" s="70">
        <v>15</v>
      </c>
      <c r="I21" s="70">
        <v>10</v>
      </c>
      <c r="J21" s="70">
        <v>32</v>
      </c>
      <c r="K21" s="70"/>
      <c r="L21" s="70"/>
      <c r="M21" s="70">
        <v>81</v>
      </c>
      <c r="N21" s="70"/>
      <c r="O21" s="70"/>
      <c r="P21" s="70">
        <v>6</v>
      </c>
      <c r="Q21" s="70"/>
      <c r="R21" s="70"/>
      <c r="S21" s="70"/>
      <c r="T21" s="70"/>
      <c r="U21" s="70"/>
      <c r="V21" s="70">
        <v>67</v>
      </c>
      <c r="W21" s="70"/>
      <c r="X21" s="70"/>
      <c r="Y21" s="70">
        <v>4</v>
      </c>
      <c r="Z21" s="70"/>
      <c r="AA21" s="70"/>
      <c r="AB21" s="70">
        <f>SUM(E21:AA21)</f>
        <v>318</v>
      </c>
      <c r="AC21" s="70">
        <f>AD21-AB21</f>
        <v>1484</v>
      </c>
      <c r="AD21" s="70">
        <f>318+1484</f>
        <v>1802</v>
      </c>
      <c r="AE21" s="69">
        <f>(AB21/AD21)</f>
        <v>0.17647058823529413</v>
      </c>
      <c r="AF21" s="68" t="s">
        <v>71</v>
      </c>
    </row>
    <row r="22" spans="1:32" s="67" customFormat="1" ht="30" customHeight="1" x14ac:dyDescent="0.25">
      <c r="A22" s="71">
        <v>46142</v>
      </c>
      <c r="B22" s="70" t="s">
        <v>1</v>
      </c>
      <c r="C22" s="70" t="s">
        <v>6</v>
      </c>
      <c r="D22" s="70">
        <v>18</v>
      </c>
      <c r="E22" s="70">
        <v>67</v>
      </c>
      <c r="F22" s="70">
        <v>59</v>
      </c>
      <c r="G22" s="70"/>
      <c r="H22" s="70">
        <v>49</v>
      </c>
      <c r="I22" s="70"/>
      <c r="J22" s="70"/>
      <c r="K22" s="70">
        <v>4</v>
      </c>
      <c r="L22" s="70"/>
      <c r="M22" s="70">
        <v>92</v>
      </c>
      <c r="N22" s="70"/>
      <c r="O22" s="70">
        <v>10</v>
      </c>
      <c r="P22" s="70"/>
      <c r="Q22" s="70"/>
      <c r="R22" s="70"/>
      <c r="S22" s="70">
        <v>15</v>
      </c>
      <c r="T22" s="70">
        <v>17</v>
      </c>
      <c r="U22" s="70"/>
      <c r="V22" s="70">
        <f>23+8</f>
        <v>31</v>
      </c>
      <c r="W22" s="70"/>
      <c r="X22" s="70"/>
      <c r="Y22" s="70"/>
      <c r="Z22" s="70"/>
      <c r="AA22" s="70"/>
      <c r="AB22" s="70">
        <f>SUM(E22:AA22)</f>
        <v>344</v>
      </c>
      <c r="AC22" s="70">
        <f>AD22-AB22</f>
        <v>960</v>
      </c>
      <c r="AD22" s="70">
        <f>344+960</f>
        <v>1304</v>
      </c>
      <c r="AE22" s="69">
        <f>(AB22/AD22)</f>
        <v>0.26380368098159507</v>
      </c>
      <c r="AF22" s="68" t="s">
        <v>71</v>
      </c>
    </row>
    <row r="23" spans="1:32" s="67" customFormat="1" ht="30" customHeight="1" x14ac:dyDescent="0.25">
      <c r="A23" s="71">
        <v>46142</v>
      </c>
      <c r="B23" s="70" t="s">
        <v>1</v>
      </c>
      <c r="C23" s="70" t="s">
        <v>2</v>
      </c>
      <c r="D23" s="70">
        <v>19</v>
      </c>
      <c r="E23" s="70">
        <v>26</v>
      </c>
      <c r="F23" s="70">
        <v>45</v>
      </c>
      <c r="G23" s="70">
        <v>46</v>
      </c>
      <c r="H23" s="70">
        <v>9</v>
      </c>
      <c r="I23" s="70"/>
      <c r="J23" s="70"/>
      <c r="K23" s="70"/>
      <c r="L23" s="70"/>
      <c r="M23" s="70">
        <v>2</v>
      </c>
      <c r="N23" s="70">
        <v>3</v>
      </c>
      <c r="O23" s="70">
        <v>1</v>
      </c>
      <c r="P23" s="70"/>
      <c r="Q23" s="70"/>
      <c r="R23" s="70"/>
      <c r="S23" s="70"/>
      <c r="T23" s="70">
        <v>7</v>
      </c>
      <c r="U23" s="70"/>
      <c r="V23" s="70">
        <v>14</v>
      </c>
      <c r="W23" s="70">
        <v>7</v>
      </c>
      <c r="X23" s="70"/>
      <c r="Y23" s="70"/>
      <c r="Z23" s="70"/>
      <c r="AA23" s="70"/>
      <c r="AB23" s="70">
        <f>SUM(E23:AA23)</f>
        <v>160</v>
      </c>
      <c r="AC23" s="70">
        <f>AD23-AB23</f>
        <v>560</v>
      </c>
      <c r="AD23" s="70">
        <f>160+560</f>
        <v>720</v>
      </c>
      <c r="AE23" s="69">
        <f>(AB23/AD23)</f>
        <v>0.22222222222222221</v>
      </c>
      <c r="AF23" s="68" t="s">
        <v>71</v>
      </c>
    </row>
    <row r="24" spans="1:32" s="67" customFormat="1" ht="30" customHeight="1" x14ac:dyDescent="0.25">
      <c r="A24" s="71">
        <v>46142</v>
      </c>
      <c r="B24" s="70" t="s">
        <v>1</v>
      </c>
      <c r="C24" s="70" t="s">
        <v>9</v>
      </c>
      <c r="D24" s="70">
        <v>20</v>
      </c>
      <c r="E24" s="70">
        <v>60</v>
      </c>
      <c r="F24" s="70">
        <v>5</v>
      </c>
      <c r="G24" s="70"/>
      <c r="H24" s="70"/>
      <c r="I24" s="70"/>
      <c r="J24" s="70"/>
      <c r="K24" s="70">
        <v>35</v>
      </c>
      <c r="L24" s="70"/>
      <c r="M24" s="70">
        <v>15</v>
      </c>
      <c r="N24" s="70"/>
      <c r="O24" s="70"/>
      <c r="P24" s="70">
        <v>20</v>
      </c>
      <c r="Q24" s="70"/>
      <c r="R24" s="70"/>
      <c r="S24" s="70"/>
      <c r="T24" s="70">
        <v>72</v>
      </c>
      <c r="U24" s="70"/>
      <c r="V24" s="70">
        <v>28</v>
      </c>
      <c r="W24" s="70"/>
      <c r="X24" s="70"/>
      <c r="Y24" s="70"/>
      <c r="Z24" s="70"/>
      <c r="AA24" s="70"/>
      <c r="AB24" s="70">
        <f>SUM(E24:AA24)</f>
        <v>235</v>
      </c>
      <c r="AC24" s="70">
        <f>AD24-AB24</f>
        <v>648</v>
      </c>
      <c r="AD24" s="70">
        <f>235+648</f>
        <v>883</v>
      </c>
      <c r="AE24" s="69">
        <f>(AB24/AD24)</f>
        <v>0.26613816534541335</v>
      </c>
      <c r="AF24" s="68" t="s">
        <v>71</v>
      </c>
    </row>
    <row r="25" spans="1:32" s="67" customFormat="1" ht="30" customHeight="1" x14ac:dyDescent="0.25">
      <c r="A25" s="71">
        <v>46142</v>
      </c>
      <c r="B25" s="70" t="s">
        <v>1</v>
      </c>
      <c r="C25" s="70" t="s">
        <v>23</v>
      </c>
      <c r="D25" s="70">
        <v>21</v>
      </c>
      <c r="E25" s="70">
        <v>137</v>
      </c>
      <c r="F25" s="70">
        <v>12</v>
      </c>
      <c r="G25" s="70">
        <v>2</v>
      </c>
      <c r="H25" s="70">
        <v>5</v>
      </c>
      <c r="I25" s="70">
        <v>3</v>
      </c>
      <c r="J25" s="70">
        <v>9</v>
      </c>
      <c r="K25" s="70">
        <v>20</v>
      </c>
      <c r="L25" s="70"/>
      <c r="M25" s="70">
        <v>33</v>
      </c>
      <c r="N25" s="70">
        <v>5</v>
      </c>
      <c r="O25" s="70"/>
      <c r="P25" s="70">
        <v>31</v>
      </c>
      <c r="Q25" s="70">
        <v>43</v>
      </c>
      <c r="R25" s="70"/>
      <c r="S25" s="70"/>
      <c r="T25" s="70">
        <v>5</v>
      </c>
      <c r="U25" s="70"/>
      <c r="V25" s="70">
        <f>45+25+13</f>
        <v>83</v>
      </c>
      <c r="W25" s="70"/>
      <c r="X25" s="70"/>
      <c r="Y25" s="70">
        <v>24</v>
      </c>
      <c r="Z25" s="70"/>
      <c r="AA25" s="70"/>
      <c r="AB25" s="70">
        <f>SUM(E25:AA25)</f>
        <v>412</v>
      </c>
      <c r="AC25" s="70">
        <f>AD25-AB25</f>
        <v>630</v>
      </c>
      <c r="AD25" s="70">
        <f>412+630</f>
        <v>1042</v>
      </c>
      <c r="AE25" s="69">
        <f>(AB25/AD25)</f>
        <v>0.39539347408829173</v>
      </c>
      <c r="AF25" s="68" t="s">
        <v>71</v>
      </c>
    </row>
    <row r="26" spans="1:32" s="67" customFormat="1" ht="30" customHeight="1" x14ac:dyDescent="0.25">
      <c r="A26" s="71">
        <v>46142</v>
      </c>
      <c r="B26" s="70" t="s">
        <v>1</v>
      </c>
      <c r="C26" s="70" t="s">
        <v>8</v>
      </c>
      <c r="D26" s="70">
        <v>22</v>
      </c>
      <c r="E26" s="70">
        <v>80</v>
      </c>
      <c r="F26" s="70"/>
      <c r="G26" s="70">
        <v>2</v>
      </c>
      <c r="H26" s="70">
        <v>49</v>
      </c>
      <c r="I26" s="70"/>
      <c r="J26" s="70">
        <v>20</v>
      </c>
      <c r="K26" s="70"/>
      <c r="L26" s="70">
        <v>22</v>
      </c>
      <c r="M26" s="70">
        <v>144</v>
      </c>
      <c r="N26" s="70"/>
      <c r="O26" s="70">
        <v>11</v>
      </c>
      <c r="P26" s="70">
        <v>18</v>
      </c>
      <c r="Q26" s="70"/>
      <c r="R26" s="70"/>
      <c r="S26" s="70"/>
      <c r="T26" s="70">
        <v>19</v>
      </c>
      <c r="U26" s="70"/>
      <c r="V26" s="70">
        <v>14</v>
      </c>
      <c r="W26" s="70"/>
      <c r="X26" s="70"/>
      <c r="Y26" s="70"/>
      <c r="Z26" s="70"/>
      <c r="AA26" s="70"/>
      <c r="AB26" s="70">
        <f>SUM(E26:AA26)</f>
        <v>379</v>
      </c>
      <c r="AC26" s="70">
        <f>AD26-AB26</f>
        <v>664</v>
      </c>
      <c r="AD26" s="70">
        <f>379+664</f>
        <v>1043</v>
      </c>
      <c r="AE26" s="69">
        <f>(AB26/AD26)</f>
        <v>0.36337488015340363</v>
      </c>
      <c r="AF26" s="68" t="s">
        <v>71</v>
      </c>
    </row>
    <row r="27" spans="1:32" s="67" customFormat="1" ht="30" customHeight="1" x14ac:dyDescent="0.25">
      <c r="A27" s="71">
        <v>46142</v>
      </c>
      <c r="B27" s="70" t="s">
        <v>1</v>
      </c>
      <c r="C27" s="70" t="s">
        <v>10</v>
      </c>
      <c r="D27" s="70">
        <v>23</v>
      </c>
      <c r="E27" s="70">
        <v>185</v>
      </c>
      <c r="F27" s="70">
        <v>17</v>
      </c>
      <c r="G27" s="70">
        <v>3</v>
      </c>
      <c r="H27" s="70"/>
      <c r="I27" s="70"/>
      <c r="J27" s="70"/>
      <c r="K27" s="70"/>
      <c r="L27" s="70"/>
      <c r="M27" s="70">
        <v>65</v>
      </c>
      <c r="N27" s="70">
        <v>10</v>
      </c>
      <c r="O27" s="70"/>
      <c r="P27" s="70">
        <v>96</v>
      </c>
      <c r="Q27" s="70"/>
      <c r="R27" s="70">
        <v>10</v>
      </c>
      <c r="S27" s="70"/>
      <c r="T27" s="70"/>
      <c r="U27" s="70"/>
      <c r="V27" s="70">
        <f>20+54+52+25</f>
        <v>151</v>
      </c>
      <c r="W27" s="70"/>
      <c r="X27" s="70"/>
      <c r="Y27" s="70"/>
      <c r="Z27" s="70"/>
      <c r="AA27" s="70"/>
      <c r="AB27" s="70">
        <f>SUM(E27:AA27)</f>
        <v>537</v>
      </c>
      <c r="AC27" s="70">
        <f>AD27-AB27</f>
        <v>864</v>
      </c>
      <c r="AD27" s="70">
        <f>537+864</f>
        <v>1401</v>
      </c>
      <c r="AE27" s="69">
        <f>(AB27/AD27)</f>
        <v>0.38329764453961457</v>
      </c>
      <c r="AF27" s="68" t="s">
        <v>71</v>
      </c>
    </row>
    <row r="28" spans="1:32" s="67" customFormat="1" ht="30" customHeight="1" x14ac:dyDescent="0.25">
      <c r="A28" s="71">
        <v>46142</v>
      </c>
      <c r="B28" s="70" t="s">
        <v>1</v>
      </c>
      <c r="C28" s="70" t="s">
        <v>6</v>
      </c>
      <c r="D28" s="70">
        <v>24</v>
      </c>
      <c r="E28" s="70">
        <v>50</v>
      </c>
      <c r="F28" s="70"/>
      <c r="G28" s="70"/>
      <c r="H28" s="70"/>
      <c r="I28" s="70"/>
      <c r="J28" s="70"/>
      <c r="K28" s="70">
        <v>8</v>
      </c>
      <c r="L28" s="70">
        <v>3</v>
      </c>
      <c r="M28" s="70">
        <v>55</v>
      </c>
      <c r="N28" s="70"/>
      <c r="O28" s="70"/>
      <c r="P28" s="70">
        <v>15</v>
      </c>
      <c r="Q28" s="70"/>
      <c r="R28" s="70"/>
      <c r="S28" s="70"/>
      <c r="T28" s="70"/>
      <c r="U28" s="70"/>
      <c r="V28" s="70">
        <f>5+5+5</f>
        <v>15</v>
      </c>
      <c r="W28" s="70"/>
      <c r="X28" s="70"/>
      <c r="Y28" s="70"/>
      <c r="Z28" s="70"/>
      <c r="AA28" s="70">
        <v>9</v>
      </c>
      <c r="AB28" s="70">
        <f>SUM(E28:AA28)</f>
        <v>155</v>
      </c>
      <c r="AC28" s="70">
        <f>AD28-AB28</f>
        <v>976</v>
      </c>
      <c r="AD28" s="70">
        <f>155+976</f>
        <v>1131</v>
      </c>
      <c r="AE28" s="69">
        <f>(AB28/AD28)</f>
        <v>0.13704686118479223</v>
      </c>
      <c r="AF28" s="68" t="s">
        <v>71</v>
      </c>
    </row>
    <row r="29" spans="1:32" s="67" customFormat="1" ht="30" customHeight="1" x14ac:dyDescent="0.25">
      <c r="A29" s="71">
        <v>46142</v>
      </c>
      <c r="B29" s="70" t="s">
        <v>5</v>
      </c>
      <c r="C29" s="70" t="s">
        <v>4</v>
      </c>
      <c r="D29" s="70">
        <v>25</v>
      </c>
      <c r="E29" s="70">
        <f>20+10+10+20+20+60</f>
        <v>140</v>
      </c>
      <c r="F29" s="70">
        <f>10</f>
        <v>10</v>
      </c>
      <c r="G29" s="70"/>
      <c r="H29" s="70">
        <f>15+80+65+25</f>
        <v>185</v>
      </c>
      <c r="I29" s="70"/>
      <c r="J29" s="70"/>
      <c r="K29" s="70">
        <v>20</v>
      </c>
      <c r="L29" s="70"/>
      <c r="M29" s="70">
        <f>25+70+5+15</f>
        <v>115</v>
      </c>
      <c r="N29" s="70"/>
      <c r="O29" s="70"/>
      <c r="P29" s="70"/>
      <c r="Q29" s="70"/>
      <c r="R29" s="70"/>
      <c r="S29" s="70"/>
      <c r="T29" s="70"/>
      <c r="U29" s="70"/>
      <c r="V29" s="70">
        <f>40+5</f>
        <v>45</v>
      </c>
      <c r="W29" s="70"/>
      <c r="X29" s="70"/>
      <c r="Y29" s="70"/>
      <c r="Z29" s="70"/>
      <c r="AA29" s="70"/>
      <c r="AB29" s="70">
        <f>SUM(E29:AA29)</f>
        <v>515</v>
      </c>
      <c r="AC29" s="70">
        <f>AD29-AB29</f>
        <v>1225</v>
      </c>
      <c r="AD29" s="70">
        <f>515+1225</f>
        <v>1740</v>
      </c>
      <c r="AE29" s="69">
        <f>(AB29/AD29)</f>
        <v>0.29597701149425287</v>
      </c>
      <c r="AF29" s="68" t="s">
        <v>74</v>
      </c>
    </row>
    <row r="30" spans="1:32" s="67" customFormat="1" ht="30" customHeight="1" x14ac:dyDescent="0.25">
      <c r="A30" s="71">
        <v>46142</v>
      </c>
      <c r="B30" s="70" t="s">
        <v>73</v>
      </c>
      <c r="C30" s="70" t="s">
        <v>22</v>
      </c>
      <c r="D30" s="70">
        <v>26</v>
      </c>
      <c r="E30" s="70">
        <v>45</v>
      </c>
      <c r="F30" s="70">
        <v>125</v>
      </c>
      <c r="G30" s="70">
        <v>2</v>
      </c>
      <c r="H30" s="70">
        <v>5</v>
      </c>
      <c r="I30" s="70"/>
      <c r="J30" s="70"/>
      <c r="K30" s="70"/>
      <c r="L30" s="70"/>
      <c r="M30" s="70">
        <v>148</v>
      </c>
      <c r="N30" s="70"/>
      <c r="O30" s="70"/>
      <c r="P30" s="70">
        <v>5</v>
      </c>
      <c r="Q30" s="70"/>
      <c r="R30" s="70"/>
      <c r="S30" s="70"/>
      <c r="T30" s="70">
        <v>35</v>
      </c>
      <c r="U30" s="70"/>
      <c r="V30" s="70">
        <f>20+10</f>
        <v>30</v>
      </c>
      <c r="W30" s="70"/>
      <c r="X30" s="70"/>
      <c r="Y30" s="70"/>
      <c r="Z30" s="70"/>
      <c r="AA30" s="70"/>
      <c r="AB30" s="70">
        <f>SUM(E30:AA30)</f>
        <v>395</v>
      </c>
      <c r="AC30" s="70">
        <f>AD30-AB30</f>
        <v>456</v>
      </c>
      <c r="AD30" s="70">
        <f>395+456</f>
        <v>851</v>
      </c>
      <c r="AE30" s="69">
        <f>(AB30/AD30)</f>
        <v>0.46415981198589895</v>
      </c>
      <c r="AF30" s="68" t="s">
        <v>71</v>
      </c>
    </row>
    <row r="31" spans="1:32" s="67" customFormat="1" ht="30" customHeight="1" x14ac:dyDescent="0.25">
      <c r="A31" s="71">
        <v>46142</v>
      </c>
      <c r="B31" s="70" t="s">
        <v>78</v>
      </c>
      <c r="C31" s="70" t="s">
        <v>86</v>
      </c>
      <c r="D31" s="70">
        <v>27</v>
      </c>
      <c r="E31" s="70">
        <v>208</v>
      </c>
      <c r="F31" s="70">
        <v>5</v>
      </c>
      <c r="G31" s="70">
        <v>48</v>
      </c>
      <c r="H31" s="70">
        <v>25</v>
      </c>
      <c r="I31" s="70"/>
      <c r="J31" s="70"/>
      <c r="K31" s="70">
        <v>20</v>
      </c>
      <c r="L31" s="70"/>
      <c r="M31" s="70">
        <v>10</v>
      </c>
      <c r="N31" s="70"/>
      <c r="O31" s="70">
        <v>20</v>
      </c>
      <c r="P31" s="70">
        <v>60</v>
      </c>
      <c r="Q31" s="70">
        <v>15</v>
      </c>
      <c r="R31" s="70"/>
      <c r="S31" s="70">
        <f>10+32</f>
        <v>42</v>
      </c>
      <c r="T31" s="70">
        <v>35</v>
      </c>
      <c r="U31" s="70"/>
      <c r="V31" s="70">
        <v>10</v>
      </c>
      <c r="W31" s="70"/>
      <c r="X31" s="70"/>
      <c r="Y31" s="70"/>
      <c r="Z31" s="70"/>
      <c r="AA31" s="70"/>
      <c r="AB31" s="70">
        <f>SUM(E31:AA31)</f>
        <v>498</v>
      </c>
      <c r="AC31" s="70">
        <f>AD31-AB31</f>
        <v>810</v>
      </c>
      <c r="AD31" s="70">
        <f>498+810</f>
        <v>1308</v>
      </c>
      <c r="AE31" s="69">
        <f>(AB31/AD31)</f>
        <v>0.38073394495412843</v>
      </c>
      <c r="AF31" s="68" t="s">
        <v>71</v>
      </c>
    </row>
    <row r="32" spans="1:32" s="67" customFormat="1" ht="30" customHeight="1" x14ac:dyDescent="0.25">
      <c r="A32" s="71">
        <v>46142</v>
      </c>
      <c r="B32" s="70" t="s">
        <v>1</v>
      </c>
      <c r="C32" s="70" t="s">
        <v>0</v>
      </c>
      <c r="D32" s="70">
        <v>28</v>
      </c>
      <c r="E32" s="70"/>
      <c r="F32" s="70">
        <v>50</v>
      </c>
      <c r="G32" s="70">
        <v>55</v>
      </c>
      <c r="H32" s="70">
        <v>5</v>
      </c>
      <c r="I32" s="70"/>
      <c r="J32" s="70"/>
      <c r="K32" s="70"/>
      <c r="L32" s="70"/>
      <c r="M32" s="70">
        <v>14</v>
      </c>
      <c r="N32" s="70"/>
      <c r="O32" s="70"/>
      <c r="P32" s="70">
        <v>16</v>
      </c>
      <c r="Q32" s="70"/>
      <c r="R32" s="70"/>
      <c r="S32" s="70"/>
      <c r="T32" s="70"/>
      <c r="U32" s="70"/>
      <c r="V32" s="70">
        <f>22</f>
        <v>22</v>
      </c>
      <c r="W32" s="70"/>
      <c r="X32" s="70"/>
      <c r="Y32" s="70"/>
      <c r="Z32" s="70"/>
      <c r="AA32" s="70"/>
      <c r="AB32" s="70">
        <f>SUM(E32:AA32)</f>
        <v>162</v>
      </c>
      <c r="AC32" s="70">
        <f>AD32-AB32</f>
        <v>464</v>
      </c>
      <c r="AD32" s="70">
        <f>162+464</f>
        <v>626</v>
      </c>
      <c r="AE32" s="69">
        <f>(AB32/AD32)</f>
        <v>0.25878594249201275</v>
      </c>
      <c r="AF32" s="68" t="s">
        <v>71</v>
      </c>
    </row>
    <row r="33" spans="1:32" s="72" customFormat="1" ht="30" customHeight="1" x14ac:dyDescent="0.25">
      <c r="A33" s="76">
        <v>46144</v>
      </c>
      <c r="B33" s="75" t="s">
        <v>1</v>
      </c>
      <c r="C33" s="75" t="s">
        <v>26</v>
      </c>
      <c r="D33" s="75">
        <v>1</v>
      </c>
      <c r="E33" s="75">
        <v>33</v>
      </c>
      <c r="F33" s="75">
        <v>38</v>
      </c>
      <c r="G33" s="75"/>
      <c r="H33" s="75"/>
      <c r="I33" s="75"/>
      <c r="J33" s="75">
        <v>10</v>
      </c>
      <c r="K33" s="75">
        <v>5</v>
      </c>
      <c r="L33" s="75">
        <v>5</v>
      </c>
      <c r="M33" s="75">
        <v>40</v>
      </c>
      <c r="N33" s="75"/>
      <c r="O33" s="75"/>
      <c r="P33" s="75">
        <v>17</v>
      </c>
      <c r="Q33" s="75"/>
      <c r="R33" s="75"/>
      <c r="S33" s="75"/>
      <c r="T33" s="75">
        <v>25</v>
      </c>
      <c r="U33" s="75"/>
      <c r="V33" s="75">
        <f>10+9</f>
        <v>19</v>
      </c>
      <c r="W33" s="75"/>
      <c r="X33" s="75"/>
      <c r="Y33" s="75"/>
      <c r="Z33" s="75"/>
      <c r="AA33" s="75"/>
      <c r="AB33" s="75">
        <f>SUM(E33:AA33)</f>
        <v>192</v>
      </c>
      <c r="AC33" s="75">
        <f>AD33-AB33</f>
        <v>547</v>
      </c>
      <c r="AD33" s="75">
        <f>192+547</f>
        <v>739</v>
      </c>
      <c r="AE33" s="74">
        <f>(AB33/AD33)</f>
        <v>0.2598105548037889</v>
      </c>
      <c r="AF33" s="73" t="s">
        <v>71</v>
      </c>
    </row>
    <row r="34" spans="1:32" s="67" customFormat="1" ht="30" customHeight="1" x14ac:dyDescent="0.25">
      <c r="A34" s="71">
        <v>46144</v>
      </c>
      <c r="B34" s="70" t="s">
        <v>78</v>
      </c>
      <c r="C34" s="70" t="s">
        <v>21</v>
      </c>
      <c r="D34" s="70">
        <v>2</v>
      </c>
      <c r="E34" s="70">
        <f>22+32+48+28+18+6</f>
        <v>154</v>
      </c>
      <c r="F34" s="70">
        <f>6+44</f>
        <v>50</v>
      </c>
      <c r="G34" s="70">
        <f>5</f>
        <v>5</v>
      </c>
      <c r="H34" s="70">
        <f>10</f>
        <v>10</v>
      </c>
      <c r="I34" s="70"/>
      <c r="J34" s="70"/>
      <c r="K34" s="70">
        <f>8</f>
        <v>8</v>
      </c>
      <c r="L34" s="70"/>
      <c r="M34" s="70">
        <f>6</f>
        <v>6</v>
      </c>
      <c r="N34" s="70"/>
      <c r="O34" s="70"/>
      <c r="P34" s="70">
        <f>63+32+10</f>
        <v>105</v>
      </c>
      <c r="Q34" s="70">
        <f>45+38</f>
        <v>83</v>
      </c>
      <c r="R34" s="70">
        <f>86</f>
        <v>86</v>
      </c>
      <c r="S34" s="70"/>
      <c r="T34" s="70">
        <f>21+16+32</f>
        <v>69</v>
      </c>
      <c r="U34" s="70"/>
      <c r="V34" s="70">
        <f>56</f>
        <v>56</v>
      </c>
      <c r="W34" s="70"/>
      <c r="X34" s="70"/>
      <c r="Y34" s="70"/>
      <c r="Z34" s="70"/>
      <c r="AA34" s="70">
        <v>18</v>
      </c>
      <c r="AB34" s="70">
        <f>SUM(E34:AA34)</f>
        <v>650</v>
      </c>
      <c r="AC34" s="70">
        <f>AD34-AB34</f>
        <v>825</v>
      </c>
      <c r="AD34" s="70">
        <f>650+825</f>
        <v>1475</v>
      </c>
      <c r="AE34" s="69">
        <f>(AB34/AD34)</f>
        <v>0.44067796610169491</v>
      </c>
      <c r="AF34" s="68" t="s">
        <v>71</v>
      </c>
    </row>
    <row r="35" spans="1:32" s="67" customFormat="1" ht="30" customHeight="1" x14ac:dyDescent="0.25">
      <c r="A35" s="71">
        <v>46144</v>
      </c>
      <c r="B35" s="70" t="s">
        <v>1</v>
      </c>
      <c r="C35" s="70" t="s">
        <v>9</v>
      </c>
      <c r="D35" s="70">
        <v>3</v>
      </c>
      <c r="E35" s="70">
        <f>3+4</f>
        <v>7</v>
      </c>
      <c r="F35" s="70">
        <f>3+3+4+3</f>
        <v>13</v>
      </c>
      <c r="G35" s="70">
        <f>5</f>
        <v>5</v>
      </c>
      <c r="H35" s="70">
        <f>7</f>
        <v>7</v>
      </c>
      <c r="I35" s="70"/>
      <c r="J35" s="70">
        <f>3</f>
        <v>3</v>
      </c>
      <c r="K35" s="70">
        <f>5+5</f>
        <v>10</v>
      </c>
      <c r="L35" s="70"/>
      <c r="M35" s="70">
        <f>13+5+8+2+6+8</f>
        <v>42</v>
      </c>
      <c r="N35" s="70"/>
      <c r="O35" s="70">
        <v>5</v>
      </c>
      <c r="P35" s="70">
        <f>5+8+6</f>
        <v>19</v>
      </c>
      <c r="Q35" s="70"/>
      <c r="R35" s="70"/>
      <c r="S35" s="70"/>
      <c r="T35" s="70">
        <f>8+10</f>
        <v>18</v>
      </c>
      <c r="U35" s="70"/>
      <c r="V35" s="70">
        <f>5+4+6+3+3+8+3</f>
        <v>32</v>
      </c>
      <c r="W35" s="70"/>
      <c r="X35" s="70"/>
      <c r="Y35" s="70"/>
      <c r="Z35" s="70"/>
      <c r="AA35" s="70"/>
      <c r="AB35" s="70">
        <f>SUM(E35:AA35)</f>
        <v>161</v>
      </c>
      <c r="AC35" s="70">
        <f>AD35-AB35</f>
        <v>400</v>
      </c>
      <c r="AD35" s="70">
        <f>161+400</f>
        <v>561</v>
      </c>
      <c r="AE35" s="69">
        <f>(AB35/AD35)</f>
        <v>0.28698752228163993</v>
      </c>
      <c r="AF35" s="68" t="s">
        <v>71</v>
      </c>
    </row>
    <row r="36" spans="1:32" s="67" customFormat="1" ht="30" customHeight="1" x14ac:dyDescent="0.25">
      <c r="A36" s="71">
        <v>46144</v>
      </c>
      <c r="B36" s="70" t="s">
        <v>1</v>
      </c>
      <c r="C36" s="70" t="s">
        <v>28</v>
      </c>
      <c r="D36" s="70">
        <v>4</v>
      </c>
      <c r="E36" s="70">
        <v>30</v>
      </c>
      <c r="F36" s="70"/>
      <c r="G36" s="70">
        <v>10</v>
      </c>
      <c r="H36" s="70"/>
      <c r="I36" s="70"/>
      <c r="J36" s="70"/>
      <c r="K36" s="70"/>
      <c r="L36" s="70">
        <v>38</v>
      </c>
      <c r="M36" s="70">
        <v>123</v>
      </c>
      <c r="N36" s="70"/>
      <c r="O36" s="70"/>
      <c r="P36" s="70"/>
      <c r="Q36" s="70"/>
      <c r="R36" s="70"/>
      <c r="S36" s="70"/>
      <c r="T36" s="70"/>
      <c r="U36" s="70"/>
      <c r="V36" s="70">
        <f>15+35</f>
        <v>50</v>
      </c>
      <c r="W36" s="70"/>
      <c r="X36" s="70"/>
      <c r="Y36" s="70"/>
      <c r="Z36" s="70"/>
      <c r="AA36" s="70"/>
      <c r="AB36" s="70">
        <f>SUM(E36:AA36)</f>
        <v>251</v>
      </c>
      <c r="AC36" s="70">
        <f>AD36-AB36</f>
        <v>760</v>
      </c>
      <c r="AD36" s="70">
        <f>251+760</f>
        <v>1011</v>
      </c>
      <c r="AE36" s="69">
        <f>(AB36/AD36)</f>
        <v>0.24826904055390703</v>
      </c>
      <c r="AF36" s="68" t="s">
        <v>71</v>
      </c>
    </row>
    <row r="37" spans="1:32" s="67" customFormat="1" ht="30" customHeight="1" x14ac:dyDescent="0.25">
      <c r="A37" s="71">
        <v>46144</v>
      </c>
      <c r="B37" s="70" t="s">
        <v>1</v>
      </c>
      <c r="C37" s="70" t="s">
        <v>16</v>
      </c>
      <c r="D37" s="70">
        <v>5</v>
      </c>
      <c r="E37" s="70">
        <v>125</v>
      </c>
      <c r="F37" s="70">
        <v>87</v>
      </c>
      <c r="G37" s="70">
        <v>25</v>
      </c>
      <c r="H37" s="70">
        <v>20</v>
      </c>
      <c r="I37" s="70">
        <v>10</v>
      </c>
      <c r="J37" s="70"/>
      <c r="K37" s="70"/>
      <c r="L37" s="70"/>
      <c r="M37" s="70">
        <v>209</v>
      </c>
      <c r="N37" s="70"/>
      <c r="O37" s="70"/>
      <c r="P37" s="70">
        <v>169</v>
      </c>
      <c r="Q37" s="70"/>
      <c r="R37" s="70">
        <v>30</v>
      </c>
      <c r="S37" s="70"/>
      <c r="T37" s="70"/>
      <c r="U37" s="70"/>
      <c r="V37" s="70">
        <v>137</v>
      </c>
      <c r="W37" s="70"/>
      <c r="X37" s="70"/>
      <c r="Y37" s="70"/>
      <c r="Z37" s="70"/>
      <c r="AA37" s="70"/>
      <c r="AB37" s="70">
        <f>SUM(E37:AA37)</f>
        <v>812</v>
      </c>
      <c r="AC37" s="70">
        <f>AD37-AB37</f>
        <v>980</v>
      </c>
      <c r="AD37" s="70">
        <f>812+980</f>
        <v>1792</v>
      </c>
      <c r="AE37" s="69">
        <f>(AB37/AD37)</f>
        <v>0.453125</v>
      </c>
      <c r="AF37" s="68" t="s">
        <v>71</v>
      </c>
    </row>
    <row r="38" spans="1:32" s="67" customFormat="1" ht="30" customHeight="1" x14ac:dyDescent="0.25">
      <c r="A38" s="71">
        <v>46144</v>
      </c>
      <c r="B38" s="70" t="s">
        <v>1</v>
      </c>
      <c r="C38" s="70" t="s">
        <v>15</v>
      </c>
      <c r="D38" s="70">
        <v>6</v>
      </c>
      <c r="E38" s="70">
        <v>91</v>
      </c>
      <c r="F38" s="70">
        <v>15</v>
      </c>
      <c r="G38" s="70">
        <v>40</v>
      </c>
      <c r="H38" s="70">
        <v>69</v>
      </c>
      <c r="I38" s="70"/>
      <c r="J38" s="70">
        <v>15</v>
      </c>
      <c r="K38" s="70">
        <v>10</v>
      </c>
      <c r="L38" s="70"/>
      <c r="M38" s="70">
        <v>42</v>
      </c>
      <c r="N38" s="70">
        <v>9</v>
      </c>
      <c r="O38" s="70"/>
      <c r="P38" s="70">
        <v>103</v>
      </c>
      <c r="Q38" s="70"/>
      <c r="R38" s="70">
        <v>20</v>
      </c>
      <c r="S38" s="70">
        <v>15</v>
      </c>
      <c r="T38" s="70">
        <v>77</v>
      </c>
      <c r="U38" s="70"/>
      <c r="V38" s="70">
        <f>36+6</f>
        <v>42</v>
      </c>
      <c r="W38" s="70"/>
      <c r="X38" s="70"/>
      <c r="Y38" s="70">
        <v>10</v>
      </c>
      <c r="Z38" s="70"/>
      <c r="AA38" s="70"/>
      <c r="AB38" s="70">
        <f>SUM(E38:AA38)</f>
        <v>558</v>
      </c>
      <c r="AC38" s="70">
        <f>AD38-AB38</f>
        <v>800</v>
      </c>
      <c r="AD38" s="70">
        <f>558+800</f>
        <v>1358</v>
      </c>
      <c r="AE38" s="69">
        <f>(AB38/AD38)</f>
        <v>0.4108983799705449</v>
      </c>
      <c r="AF38" s="68" t="s">
        <v>71</v>
      </c>
    </row>
    <row r="39" spans="1:32" s="67" customFormat="1" ht="30" customHeight="1" x14ac:dyDescent="0.25">
      <c r="A39" s="71">
        <v>46144</v>
      </c>
      <c r="B39" s="70" t="s">
        <v>1</v>
      </c>
      <c r="C39" s="70" t="s">
        <v>14</v>
      </c>
      <c r="D39" s="70">
        <v>7</v>
      </c>
      <c r="E39" s="70">
        <v>25</v>
      </c>
      <c r="F39" s="70">
        <v>20</v>
      </c>
      <c r="G39" s="70">
        <v>55</v>
      </c>
      <c r="H39" s="70">
        <v>10</v>
      </c>
      <c r="I39" s="70"/>
      <c r="J39" s="70">
        <v>10</v>
      </c>
      <c r="K39" s="70"/>
      <c r="L39" s="70"/>
      <c r="M39" s="70"/>
      <c r="N39" s="70"/>
      <c r="O39" s="70"/>
      <c r="P39" s="70"/>
      <c r="Q39" s="70">
        <v>5</v>
      </c>
      <c r="R39" s="70">
        <v>5</v>
      </c>
      <c r="S39" s="70"/>
      <c r="T39" s="70">
        <v>31</v>
      </c>
      <c r="U39" s="70"/>
      <c r="V39" s="70">
        <v>15</v>
      </c>
      <c r="W39" s="70"/>
      <c r="X39" s="70"/>
      <c r="Y39" s="70"/>
      <c r="Z39" s="70"/>
      <c r="AA39" s="70"/>
      <c r="AB39" s="70">
        <f>SUM(E39:AA39)</f>
        <v>176</v>
      </c>
      <c r="AC39" s="70">
        <f>AD39-AB39</f>
        <v>230</v>
      </c>
      <c r="AD39" s="70">
        <f>176+230</f>
        <v>406</v>
      </c>
      <c r="AE39" s="69">
        <f>(AB39/AD39)</f>
        <v>0.43349753694581283</v>
      </c>
      <c r="AF39" s="68" t="s">
        <v>71</v>
      </c>
    </row>
    <row r="40" spans="1:32" s="67" customFormat="1" ht="30" customHeight="1" x14ac:dyDescent="0.25">
      <c r="A40" s="71">
        <v>46144</v>
      </c>
      <c r="B40" s="70" t="s">
        <v>73</v>
      </c>
      <c r="C40" s="70" t="s">
        <v>83</v>
      </c>
      <c r="D40" s="70">
        <v>8</v>
      </c>
      <c r="E40" s="70">
        <f>20+20+10+15+5</f>
        <v>70</v>
      </c>
      <c r="F40" s="70">
        <f>7+10+5+2+10</f>
        <v>34</v>
      </c>
      <c r="G40" s="70">
        <f>13+13+10</f>
        <v>36</v>
      </c>
      <c r="H40" s="70">
        <f>38+5+3+5</f>
        <v>51</v>
      </c>
      <c r="I40" s="70">
        <f>2</f>
        <v>2</v>
      </c>
      <c r="J40" s="70"/>
      <c r="K40" s="70"/>
      <c r="L40" s="70"/>
      <c r="M40" s="70">
        <f>10+13+5+15</f>
        <v>43</v>
      </c>
      <c r="N40" s="70"/>
      <c r="O40" s="70">
        <f>5</f>
        <v>5</v>
      </c>
      <c r="P40" s="70">
        <f>10+11+3+18</f>
        <v>42</v>
      </c>
      <c r="Q40" s="70"/>
      <c r="R40" s="70"/>
      <c r="S40" s="70"/>
      <c r="T40" s="70">
        <f>10+43+12</f>
        <v>65</v>
      </c>
      <c r="U40" s="70"/>
      <c r="V40" s="70">
        <f>10+42+20+10+10+5</f>
        <v>97</v>
      </c>
      <c r="W40" s="70"/>
      <c r="X40" s="70"/>
      <c r="Y40" s="70">
        <v>7</v>
      </c>
      <c r="Z40" s="70"/>
      <c r="AA40" s="70"/>
      <c r="AB40" s="70">
        <f>SUM(E40:AA40)</f>
        <v>452</v>
      </c>
      <c r="AC40" s="70">
        <f>AD40-AB40</f>
        <v>650</v>
      </c>
      <c r="AD40" s="70">
        <f>452+650</f>
        <v>1102</v>
      </c>
      <c r="AE40" s="69">
        <f>(AB40/AD40)</f>
        <v>0.41016333938294008</v>
      </c>
      <c r="AF40" s="68" t="s">
        <v>71</v>
      </c>
    </row>
    <row r="41" spans="1:32" s="67" customFormat="1" ht="30" customHeight="1" x14ac:dyDescent="0.25">
      <c r="A41" s="71">
        <v>46144</v>
      </c>
      <c r="B41" s="70" t="s">
        <v>1</v>
      </c>
      <c r="C41" s="70" t="s">
        <v>12</v>
      </c>
      <c r="D41" s="70">
        <v>9</v>
      </c>
      <c r="E41" s="70">
        <v>130</v>
      </c>
      <c r="F41" s="70">
        <v>26</v>
      </c>
      <c r="G41" s="70">
        <v>47</v>
      </c>
      <c r="H41" s="70">
        <v>48</v>
      </c>
      <c r="I41" s="70">
        <v>13</v>
      </c>
      <c r="J41" s="70">
        <v>7</v>
      </c>
      <c r="K41" s="70"/>
      <c r="L41" s="70"/>
      <c r="M41" s="70">
        <v>34</v>
      </c>
      <c r="N41" s="70"/>
      <c r="O41" s="70"/>
      <c r="P41" s="70">
        <v>33</v>
      </c>
      <c r="Q41" s="70"/>
      <c r="R41" s="70"/>
      <c r="S41" s="70"/>
      <c r="T41" s="70">
        <v>20</v>
      </c>
      <c r="U41" s="70"/>
      <c r="V41" s="70">
        <f>67+13</f>
        <v>80</v>
      </c>
      <c r="W41" s="70"/>
      <c r="X41" s="70"/>
      <c r="Y41" s="70">
        <v>27</v>
      </c>
      <c r="Z41" s="70"/>
      <c r="AA41" s="70"/>
      <c r="AB41" s="70">
        <f>SUM(E41:AA41)</f>
        <v>465</v>
      </c>
      <c r="AC41" s="70">
        <f>AD41-AB41</f>
        <v>1060</v>
      </c>
      <c r="AD41" s="70">
        <f>465+1060</f>
        <v>1525</v>
      </c>
      <c r="AE41" s="69">
        <f>(AB41/AD41)</f>
        <v>0.30491803278688523</v>
      </c>
      <c r="AF41" s="68" t="s">
        <v>71</v>
      </c>
    </row>
    <row r="42" spans="1:32" s="67" customFormat="1" ht="30" customHeight="1" x14ac:dyDescent="0.25">
      <c r="A42" s="71">
        <v>46144</v>
      </c>
      <c r="B42" s="70" t="s">
        <v>1</v>
      </c>
      <c r="C42" s="70" t="s">
        <v>0</v>
      </c>
      <c r="D42" s="70">
        <v>10</v>
      </c>
      <c r="E42" s="70">
        <v>34</v>
      </c>
      <c r="F42" s="70">
        <v>5</v>
      </c>
      <c r="G42" s="70">
        <v>14</v>
      </c>
      <c r="H42" s="70"/>
      <c r="I42" s="70"/>
      <c r="J42" s="70">
        <v>13</v>
      </c>
      <c r="K42" s="70"/>
      <c r="L42" s="70">
        <v>12</v>
      </c>
      <c r="M42" s="70">
        <v>18</v>
      </c>
      <c r="N42" s="70"/>
      <c r="O42" s="70"/>
      <c r="P42" s="70"/>
      <c r="Q42" s="70"/>
      <c r="R42" s="70"/>
      <c r="S42" s="70"/>
      <c r="T42" s="70"/>
      <c r="U42" s="70"/>
      <c r="V42" s="70">
        <f>40</f>
        <v>40</v>
      </c>
      <c r="W42" s="70"/>
      <c r="X42" s="70"/>
      <c r="Y42" s="70"/>
      <c r="Z42" s="70"/>
      <c r="AA42" s="70"/>
      <c r="AB42" s="70">
        <f>SUM(E42:AA42)</f>
        <v>136</v>
      </c>
      <c r="AC42" s="70">
        <f>AD42-AB42</f>
        <v>290</v>
      </c>
      <c r="AD42" s="70">
        <f>136+290</f>
        <v>426</v>
      </c>
      <c r="AE42" s="69">
        <f>(AB42/AD42)</f>
        <v>0.31924882629107981</v>
      </c>
      <c r="AF42" s="68" t="s">
        <v>71</v>
      </c>
    </row>
    <row r="43" spans="1:32" s="67" customFormat="1" ht="30" customHeight="1" x14ac:dyDescent="0.25">
      <c r="A43" s="71">
        <v>46144</v>
      </c>
      <c r="B43" s="70" t="s">
        <v>1</v>
      </c>
      <c r="C43" s="70" t="s">
        <v>10</v>
      </c>
      <c r="D43" s="70">
        <v>11</v>
      </c>
      <c r="E43" s="70">
        <v>65</v>
      </c>
      <c r="F43" s="70">
        <v>20</v>
      </c>
      <c r="G43" s="70">
        <v>7</v>
      </c>
      <c r="H43" s="70">
        <v>8</v>
      </c>
      <c r="I43" s="70"/>
      <c r="J43" s="70"/>
      <c r="K43" s="70"/>
      <c r="L43" s="70"/>
      <c r="M43" s="70">
        <v>27</v>
      </c>
      <c r="N43" s="70"/>
      <c r="O43" s="70"/>
      <c r="P43" s="70">
        <v>30</v>
      </c>
      <c r="Q43" s="70"/>
      <c r="R43" s="70"/>
      <c r="S43" s="70"/>
      <c r="T43" s="70">
        <v>30</v>
      </c>
      <c r="U43" s="70"/>
      <c r="V43" s="70">
        <f>22+16</f>
        <v>38</v>
      </c>
      <c r="W43" s="70"/>
      <c r="X43" s="70"/>
      <c r="Y43" s="70"/>
      <c r="Z43" s="70"/>
      <c r="AA43" s="70">
        <v>5</v>
      </c>
      <c r="AB43" s="70">
        <f>SUM(E43:AA43)</f>
        <v>230</v>
      </c>
      <c r="AC43" s="70">
        <f>AD43-AB43</f>
        <v>540</v>
      </c>
      <c r="AD43" s="70">
        <f>230+540</f>
        <v>770</v>
      </c>
      <c r="AE43" s="69">
        <f>(AB43/AD43)</f>
        <v>0.29870129870129869</v>
      </c>
      <c r="AF43" s="68" t="s">
        <v>71</v>
      </c>
    </row>
    <row r="44" spans="1:32" s="67" customFormat="1" ht="30" customHeight="1" x14ac:dyDescent="0.25">
      <c r="A44" s="71">
        <v>46144</v>
      </c>
      <c r="B44" s="70" t="s">
        <v>78</v>
      </c>
      <c r="C44" s="70" t="s">
        <v>18</v>
      </c>
      <c r="D44" s="70">
        <v>13</v>
      </c>
      <c r="E44" s="70">
        <v>71</v>
      </c>
      <c r="F44" s="70"/>
      <c r="G44" s="70">
        <v>76</v>
      </c>
      <c r="H44" s="70">
        <v>32</v>
      </c>
      <c r="I44" s="70">
        <v>10</v>
      </c>
      <c r="J44" s="70"/>
      <c r="K44" s="70">
        <v>8</v>
      </c>
      <c r="L44" s="70"/>
      <c r="M44" s="70">
        <v>33</v>
      </c>
      <c r="N44" s="70"/>
      <c r="O44" s="70">
        <v>34</v>
      </c>
      <c r="P44" s="70">
        <v>88</v>
      </c>
      <c r="Q44" s="70"/>
      <c r="R44" s="70"/>
      <c r="S44" s="70"/>
      <c r="T44" s="70">
        <v>6</v>
      </c>
      <c r="U44" s="70"/>
      <c r="V44" s="70">
        <f>77+10+5</f>
        <v>92</v>
      </c>
      <c r="W44" s="70"/>
      <c r="X44" s="70"/>
      <c r="Y44" s="70"/>
      <c r="Z44" s="70"/>
      <c r="AA44" s="70"/>
      <c r="AB44" s="70">
        <f>SUM(E44:AA44)</f>
        <v>450</v>
      </c>
      <c r="AC44" s="70">
        <f>AD44-AB44</f>
        <v>1000</v>
      </c>
      <c r="AD44" s="70">
        <f>450+1000</f>
        <v>1450</v>
      </c>
      <c r="AE44" s="69">
        <f>(AB44/AD44)</f>
        <v>0.31034482758620691</v>
      </c>
      <c r="AF44" s="68" t="s">
        <v>71</v>
      </c>
    </row>
    <row r="45" spans="1:32" s="67" customFormat="1" ht="30" customHeight="1" x14ac:dyDescent="0.25">
      <c r="A45" s="71">
        <v>46144</v>
      </c>
      <c r="B45" s="70" t="s">
        <v>1</v>
      </c>
      <c r="C45" s="70" t="s">
        <v>8</v>
      </c>
      <c r="D45" s="70">
        <v>14</v>
      </c>
      <c r="E45" s="70">
        <f>4+5+5</f>
        <v>14</v>
      </c>
      <c r="F45" s="70">
        <f>3+6</f>
        <v>9</v>
      </c>
      <c r="G45" s="70">
        <f>7+7</f>
        <v>14</v>
      </c>
      <c r="H45" s="70"/>
      <c r="I45" s="70"/>
      <c r="J45" s="70"/>
      <c r="K45" s="70">
        <v>8</v>
      </c>
      <c r="L45" s="70">
        <v>5</v>
      </c>
      <c r="M45" s="70">
        <f>20+4+5+8</f>
        <v>37</v>
      </c>
      <c r="N45" s="70"/>
      <c r="O45" s="70">
        <f>10</f>
        <v>10</v>
      </c>
      <c r="P45" s="70">
        <f>8</f>
        <v>8</v>
      </c>
      <c r="Q45" s="70"/>
      <c r="R45" s="70"/>
      <c r="S45" s="70"/>
      <c r="T45" s="70">
        <f>4</f>
        <v>4</v>
      </c>
      <c r="U45" s="70"/>
      <c r="V45" s="70">
        <f>5+4+5</f>
        <v>14</v>
      </c>
      <c r="W45" s="70"/>
      <c r="X45" s="70"/>
      <c r="Y45" s="70"/>
      <c r="Z45" s="70"/>
      <c r="AA45" s="70">
        <f>5+12</f>
        <v>17</v>
      </c>
      <c r="AB45" s="70">
        <f>SUM(E45:AA45)</f>
        <v>140</v>
      </c>
      <c r="AC45" s="70">
        <f>AD45-AB45</f>
        <v>400</v>
      </c>
      <c r="AD45" s="70">
        <f>140+400</f>
        <v>540</v>
      </c>
      <c r="AE45" s="69">
        <f>(AB45/AD45)</f>
        <v>0.25925925925925924</v>
      </c>
      <c r="AF45" s="68" t="s">
        <v>71</v>
      </c>
    </row>
    <row r="46" spans="1:32" s="67" customFormat="1" ht="30" customHeight="1" x14ac:dyDescent="0.25">
      <c r="A46" s="71">
        <v>46144</v>
      </c>
      <c r="B46" s="70" t="s">
        <v>73</v>
      </c>
      <c r="C46" s="70" t="s">
        <v>7</v>
      </c>
      <c r="D46" s="70">
        <v>15</v>
      </c>
      <c r="E46" s="70">
        <v>2</v>
      </c>
      <c r="F46" s="70">
        <v>18</v>
      </c>
      <c r="G46" s="70"/>
      <c r="H46" s="70"/>
      <c r="I46" s="70"/>
      <c r="J46" s="70"/>
      <c r="K46" s="70">
        <v>3</v>
      </c>
      <c r="L46" s="70">
        <v>8</v>
      </c>
      <c r="M46" s="70">
        <v>29</v>
      </c>
      <c r="N46" s="70"/>
      <c r="O46" s="70"/>
      <c r="P46" s="70"/>
      <c r="Q46" s="70"/>
      <c r="R46" s="70"/>
      <c r="S46" s="70"/>
      <c r="T46" s="70">
        <v>7</v>
      </c>
      <c r="U46" s="70"/>
      <c r="V46" s="70"/>
      <c r="W46" s="70"/>
      <c r="X46" s="70"/>
      <c r="Y46" s="70"/>
      <c r="Z46" s="70"/>
      <c r="AA46" s="70"/>
      <c r="AB46" s="70">
        <f>SUM(E46:AA46)</f>
        <v>67</v>
      </c>
      <c r="AC46" s="70">
        <f>AD46-AB46</f>
        <v>97</v>
      </c>
      <c r="AD46" s="70">
        <f>67+97</f>
        <v>164</v>
      </c>
      <c r="AE46" s="69">
        <f>(AB46/AD46)</f>
        <v>0.40853658536585363</v>
      </c>
      <c r="AF46" s="68" t="s">
        <v>71</v>
      </c>
    </row>
    <row r="47" spans="1:32" s="67" customFormat="1" ht="30" customHeight="1" x14ac:dyDescent="0.25">
      <c r="A47" s="71">
        <v>46144</v>
      </c>
      <c r="B47" s="70" t="s">
        <v>1</v>
      </c>
      <c r="C47" s="70" t="s">
        <v>10</v>
      </c>
      <c r="D47" s="70">
        <v>16</v>
      </c>
      <c r="E47" s="70">
        <v>44</v>
      </c>
      <c r="F47" s="70">
        <v>33</v>
      </c>
      <c r="G47" s="70">
        <v>14</v>
      </c>
      <c r="H47" s="70">
        <v>12</v>
      </c>
      <c r="I47" s="70"/>
      <c r="J47" s="70"/>
      <c r="K47" s="70"/>
      <c r="L47" s="70"/>
      <c r="M47" s="70">
        <v>79</v>
      </c>
      <c r="N47" s="70"/>
      <c r="O47" s="70"/>
      <c r="P47" s="70">
        <v>39</v>
      </c>
      <c r="Q47" s="70"/>
      <c r="R47" s="70"/>
      <c r="S47" s="70"/>
      <c r="T47" s="70">
        <v>26</v>
      </c>
      <c r="U47" s="70"/>
      <c r="V47" s="70">
        <f>14</f>
        <v>14</v>
      </c>
      <c r="W47" s="70"/>
      <c r="X47" s="70"/>
      <c r="Y47" s="70"/>
      <c r="Z47" s="70"/>
      <c r="AA47" s="70">
        <v>16</v>
      </c>
      <c r="AB47" s="70">
        <f>SUM(E47:AA47)</f>
        <v>277</v>
      </c>
      <c r="AC47" s="70">
        <f>AD47-AB47</f>
        <v>550</v>
      </c>
      <c r="AD47" s="70">
        <f>277+550</f>
        <v>827</v>
      </c>
      <c r="AE47" s="69">
        <f>(AB47/AD47)</f>
        <v>0.33494558645707379</v>
      </c>
      <c r="AF47" s="68" t="s">
        <v>71</v>
      </c>
    </row>
    <row r="48" spans="1:32" s="67" customFormat="1" ht="30" customHeight="1" x14ac:dyDescent="0.25">
      <c r="A48" s="71">
        <v>46144</v>
      </c>
      <c r="B48" s="70" t="s">
        <v>73</v>
      </c>
      <c r="C48" s="70" t="s">
        <v>12</v>
      </c>
      <c r="D48" s="70">
        <v>17</v>
      </c>
      <c r="E48" s="70">
        <v>122</v>
      </c>
      <c r="F48" s="70">
        <v>8</v>
      </c>
      <c r="G48" s="70"/>
      <c r="H48" s="70">
        <v>7</v>
      </c>
      <c r="I48" s="70">
        <v>5</v>
      </c>
      <c r="J48" s="70">
        <v>9</v>
      </c>
      <c r="K48" s="70"/>
      <c r="L48" s="70"/>
      <c r="M48" s="70">
        <v>18</v>
      </c>
      <c r="N48" s="70"/>
      <c r="O48" s="70"/>
      <c r="P48" s="70">
        <v>10</v>
      </c>
      <c r="Q48" s="70"/>
      <c r="R48" s="70"/>
      <c r="S48" s="70"/>
      <c r="T48" s="70"/>
      <c r="U48" s="70">
        <v>1</v>
      </c>
      <c r="V48" s="70">
        <f>21+5</f>
        <v>26</v>
      </c>
      <c r="W48" s="70"/>
      <c r="X48" s="70"/>
      <c r="Y48" s="70">
        <v>5</v>
      </c>
      <c r="Z48" s="70"/>
      <c r="AA48" s="70"/>
      <c r="AB48" s="70">
        <f>SUM(E48:AA48)</f>
        <v>211</v>
      </c>
      <c r="AC48" s="70">
        <f>AD48-AB48</f>
        <v>1281</v>
      </c>
      <c r="AD48" s="70">
        <f>211+1281</f>
        <v>1492</v>
      </c>
      <c r="AE48" s="69">
        <f>(AB48/AD48)</f>
        <v>0.14142091152815014</v>
      </c>
      <c r="AF48" s="68" t="s">
        <v>71</v>
      </c>
    </row>
    <row r="49" spans="1:32" s="67" customFormat="1" ht="30" customHeight="1" x14ac:dyDescent="0.25">
      <c r="A49" s="71">
        <v>46144</v>
      </c>
      <c r="B49" s="70" t="s">
        <v>1</v>
      </c>
      <c r="C49" s="70" t="s">
        <v>6</v>
      </c>
      <c r="D49" s="70">
        <v>18</v>
      </c>
      <c r="E49" s="70">
        <f>17+11+15</f>
        <v>43</v>
      </c>
      <c r="F49" s="70">
        <f>6+4+17+7+3</f>
        <v>37</v>
      </c>
      <c r="G49" s="70">
        <f>3</f>
        <v>3</v>
      </c>
      <c r="H49" s="70">
        <f>7+4</f>
        <v>11</v>
      </c>
      <c r="I49" s="70"/>
      <c r="J49" s="70"/>
      <c r="K49" s="70">
        <f>2+7</f>
        <v>9</v>
      </c>
      <c r="L49" s="70"/>
      <c r="M49" s="70">
        <f>16+6+7+5+8</f>
        <v>42</v>
      </c>
      <c r="N49" s="70"/>
      <c r="O49" s="70">
        <f>7</f>
        <v>7</v>
      </c>
      <c r="P49" s="70"/>
      <c r="Q49" s="70"/>
      <c r="R49" s="70"/>
      <c r="S49" s="70">
        <f>5</f>
        <v>5</v>
      </c>
      <c r="T49" s="70">
        <f>13</f>
        <v>13</v>
      </c>
      <c r="U49" s="70"/>
      <c r="V49" s="70">
        <f>7+6+5+10+9</f>
        <v>37</v>
      </c>
      <c r="W49" s="70"/>
      <c r="X49" s="70"/>
      <c r="Y49" s="70">
        <v>5</v>
      </c>
      <c r="Z49" s="70"/>
      <c r="AA49" s="70"/>
      <c r="AB49" s="70">
        <f>SUM(E49:AA49)</f>
        <v>212</v>
      </c>
      <c r="AC49" s="70">
        <f>AD49-AB49</f>
        <v>600</v>
      </c>
      <c r="AD49" s="70">
        <f>212+600</f>
        <v>812</v>
      </c>
      <c r="AE49" s="69">
        <f>(AB49/AD49)</f>
        <v>0.26108374384236455</v>
      </c>
      <c r="AF49" s="68" t="s">
        <v>71</v>
      </c>
    </row>
    <row r="50" spans="1:32" s="67" customFormat="1" ht="30" customHeight="1" x14ac:dyDescent="0.25">
      <c r="A50" s="71">
        <v>46144</v>
      </c>
      <c r="B50" s="70" t="s">
        <v>1</v>
      </c>
      <c r="C50" s="70" t="s">
        <v>2</v>
      </c>
      <c r="D50" s="70">
        <v>19</v>
      </c>
      <c r="E50" s="70">
        <f>20+11</f>
        <v>31</v>
      </c>
      <c r="F50" s="70">
        <f>13+10</f>
        <v>23</v>
      </c>
      <c r="G50" s="70">
        <f>31+10</f>
        <v>41</v>
      </c>
      <c r="H50" s="70">
        <f>7</f>
        <v>7</v>
      </c>
      <c r="I50" s="70"/>
      <c r="J50" s="70"/>
      <c r="K50" s="70"/>
      <c r="L50" s="70"/>
      <c r="M50" s="70">
        <f>4+9</f>
        <v>13</v>
      </c>
      <c r="N50" s="70"/>
      <c r="O50" s="70"/>
      <c r="P50" s="70"/>
      <c r="Q50" s="70"/>
      <c r="R50" s="70"/>
      <c r="S50" s="70"/>
      <c r="T50" s="70">
        <f>2</f>
        <v>2</v>
      </c>
      <c r="U50" s="70"/>
      <c r="V50" s="70">
        <f>5+10+9</f>
        <v>24</v>
      </c>
      <c r="W50" s="70"/>
      <c r="X50" s="70"/>
      <c r="Y50" s="70"/>
      <c r="Z50" s="70"/>
      <c r="AA50" s="70"/>
      <c r="AB50" s="70">
        <f>SUM(E50:AA50)</f>
        <v>141</v>
      </c>
      <c r="AC50" s="70">
        <f>AD50-AB50</f>
        <v>415</v>
      </c>
      <c r="AD50" s="70">
        <f>141+415</f>
        <v>556</v>
      </c>
      <c r="AE50" s="69">
        <f>(AB50/AD50)</f>
        <v>0.25359712230215825</v>
      </c>
      <c r="AF50" s="68" t="s">
        <v>71</v>
      </c>
    </row>
    <row r="51" spans="1:32" s="67" customFormat="1" ht="30" customHeight="1" x14ac:dyDescent="0.25">
      <c r="A51" s="71">
        <v>46144</v>
      </c>
      <c r="B51" s="70" t="s">
        <v>1</v>
      </c>
      <c r="C51" s="70" t="s">
        <v>9</v>
      </c>
      <c r="D51" s="70">
        <v>20</v>
      </c>
      <c r="E51" s="70">
        <v>30</v>
      </c>
      <c r="F51" s="70">
        <v>5</v>
      </c>
      <c r="G51" s="70"/>
      <c r="H51" s="70">
        <v>2</v>
      </c>
      <c r="I51" s="70"/>
      <c r="J51" s="70"/>
      <c r="K51" s="70">
        <v>22</v>
      </c>
      <c r="L51" s="70"/>
      <c r="M51" s="70">
        <v>16</v>
      </c>
      <c r="N51" s="70"/>
      <c r="O51" s="70"/>
      <c r="P51" s="70">
        <v>12</v>
      </c>
      <c r="Q51" s="70"/>
      <c r="R51" s="70"/>
      <c r="S51" s="70"/>
      <c r="T51" s="70">
        <v>34</v>
      </c>
      <c r="U51" s="70"/>
      <c r="V51" s="70">
        <v>24</v>
      </c>
      <c r="W51" s="70"/>
      <c r="X51" s="70"/>
      <c r="Y51" s="70"/>
      <c r="Z51" s="70"/>
      <c r="AA51" s="70"/>
      <c r="AB51" s="70">
        <f>SUM(E51:AA51)</f>
        <v>145</v>
      </c>
      <c r="AC51" s="70">
        <f>AD51-AB51</f>
        <v>405</v>
      </c>
      <c r="AD51" s="70">
        <f>145+405</f>
        <v>550</v>
      </c>
      <c r="AE51" s="69">
        <f>(AB51/AD51)</f>
        <v>0.26363636363636361</v>
      </c>
      <c r="AF51" s="68" t="s">
        <v>71</v>
      </c>
    </row>
    <row r="52" spans="1:32" s="67" customFormat="1" ht="30" customHeight="1" x14ac:dyDescent="0.25">
      <c r="A52" s="71">
        <v>46144</v>
      </c>
      <c r="B52" s="70" t="s">
        <v>1</v>
      </c>
      <c r="C52" s="70" t="s">
        <v>23</v>
      </c>
      <c r="D52" s="70">
        <v>21</v>
      </c>
      <c r="E52" s="70">
        <v>118</v>
      </c>
      <c r="F52" s="70">
        <v>10</v>
      </c>
      <c r="G52" s="70">
        <v>16</v>
      </c>
      <c r="H52" s="70"/>
      <c r="I52" s="70">
        <v>10</v>
      </c>
      <c r="J52" s="70">
        <v>11</v>
      </c>
      <c r="K52" s="70">
        <v>9</v>
      </c>
      <c r="L52" s="70"/>
      <c r="M52" s="70">
        <v>10</v>
      </c>
      <c r="N52" s="70"/>
      <c r="O52" s="70">
        <v>13</v>
      </c>
      <c r="P52" s="70">
        <v>35</v>
      </c>
      <c r="Q52" s="70">
        <v>30</v>
      </c>
      <c r="R52" s="70"/>
      <c r="S52" s="70"/>
      <c r="T52" s="70"/>
      <c r="U52" s="70"/>
      <c r="V52" s="70">
        <v>38</v>
      </c>
      <c r="W52" s="70"/>
      <c r="X52" s="70"/>
      <c r="Y52" s="70"/>
      <c r="Z52" s="70"/>
      <c r="AA52" s="70"/>
      <c r="AB52" s="70">
        <f>SUM(E52:AA52)</f>
        <v>300</v>
      </c>
      <c r="AC52" s="70">
        <f>AD52-AB52</f>
        <v>475</v>
      </c>
      <c r="AD52" s="70">
        <f>300+475</f>
        <v>775</v>
      </c>
      <c r="AE52" s="69">
        <f>(AB52/AD52)</f>
        <v>0.38709677419354838</v>
      </c>
      <c r="AF52" s="68" t="s">
        <v>71</v>
      </c>
    </row>
    <row r="53" spans="1:32" s="67" customFormat="1" ht="30" customHeight="1" x14ac:dyDescent="0.25">
      <c r="A53" s="71">
        <v>46144</v>
      </c>
      <c r="B53" s="70" t="s">
        <v>1</v>
      </c>
      <c r="C53" s="70" t="s">
        <v>8</v>
      </c>
      <c r="D53" s="70">
        <v>22</v>
      </c>
      <c r="E53" s="70">
        <v>27</v>
      </c>
      <c r="F53" s="70">
        <v>4</v>
      </c>
      <c r="G53" s="70">
        <v>8</v>
      </c>
      <c r="H53" s="70">
        <v>33</v>
      </c>
      <c r="I53" s="70"/>
      <c r="J53" s="70"/>
      <c r="K53" s="70"/>
      <c r="L53" s="70">
        <v>34</v>
      </c>
      <c r="M53" s="70">
        <v>96</v>
      </c>
      <c r="N53" s="70"/>
      <c r="O53" s="70">
        <v>10</v>
      </c>
      <c r="P53" s="70">
        <v>13</v>
      </c>
      <c r="Q53" s="70"/>
      <c r="R53" s="70"/>
      <c r="S53" s="70"/>
      <c r="T53" s="70">
        <v>15</v>
      </c>
      <c r="U53" s="70"/>
      <c r="V53" s="70"/>
      <c r="W53" s="70"/>
      <c r="X53" s="70"/>
      <c r="Y53" s="70"/>
      <c r="Z53" s="70"/>
      <c r="AA53" s="70"/>
      <c r="AB53" s="70">
        <f>SUM(E53:AA53)</f>
        <v>240</v>
      </c>
      <c r="AC53" s="70">
        <f>AD53-AB53</f>
        <v>416</v>
      </c>
      <c r="AD53" s="70">
        <f>240+416</f>
        <v>656</v>
      </c>
      <c r="AE53" s="69">
        <f>(AB53/AD53)</f>
        <v>0.36585365853658536</v>
      </c>
      <c r="AF53" s="68" t="s">
        <v>71</v>
      </c>
    </row>
    <row r="54" spans="1:32" s="67" customFormat="1" ht="30" customHeight="1" x14ac:dyDescent="0.25">
      <c r="A54" s="71">
        <v>46144</v>
      </c>
      <c r="B54" s="70" t="s">
        <v>1</v>
      </c>
      <c r="C54" s="70" t="s">
        <v>10</v>
      </c>
      <c r="D54" s="70">
        <v>23</v>
      </c>
      <c r="E54" s="70">
        <v>132</v>
      </c>
      <c r="F54" s="70">
        <v>5</v>
      </c>
      <c r="G54" s="70"/>
      <c r="H54" s="70"/>
      <c r="I54" s="70"/>
      <c r="J54" s="70"/>
      <c r="K54" s="70"/>
      <c r="L54" s="70"/>
      <c r="M54" s="70">
        <v>41</v>
      </c>
      <c r="N54" s="70"/>
      <c r="O54" s="70"/>
      <c r="P54" s="70">
        <v>53</v>
      </c>
      <c r="Q54" s="70"/>
      <c r="R54" s="70"/>
      <c r="S54" s="70"/>
      <c r="T54" s="70">
        <v>5</v>
      </c>
      <c r="U54" s="70"/>
      <c r="V54" s="70">
        <f>22+23+30+24</f>
        <v>99</v>
      </c>
      <c r="W54" s="70"/>
      <c r="X54" s="70"/>
      <c r="Y54" s="70"/>
      <c r="Z54" s="70"/>
      <c r="AA54" s="70"/>
      <c r="AB54" s="70">
        <f>SUM(E54:AA54)</f>
        <v>335</v>
      </c>
      <c r="AC54" s="70">
        <f>AD54-AB54</f>
        <v>540</v>
      </c>
      <c r="AD54" s="70">
        <f>335+540</f>
        <v>875</v>
      </c>
      <c r="AE54" s="69">
        <f>(AB54/AD54)</f>
        <v>0.38285714285714284</v>
      </c>
      <c r="AF54" s="68" t="s">
        <v>71</v>
      </c>
    </row>
    <row r="55" spans="1:32" s="67" customFormat="1" ht="30" customHeight="1" x14ac:dyDescent="0.25">
      <c r="A55" s="71">
        <v>46144</v>
      </c>
      <c r="B55" s="70" t="s">
        <v>1</v>
      </c>
      <c r="C55" s="70" t="s">
        <v>6</v>
      </c>
      <c r="D55" s="70">
        <v>24</v>
      </c>
      <c r="E55" s="70">
        <f>15+5+13</f>
        <v>33</v>
      </c>
      <c r="F55" s="70"/>
      <c r="G55" s="70"/>
      <c r="H55" s="70"/>
      <c r="I55" s="70"/>
      <c r="J55" s="70"/>
      <c r="K55" s="70">
        <v>8</v>
      </c>
      <c r="L55" s="70"/>
      <c r="M55" s="70">
        <f>15+7+10</f>
        <v>32</v>
      </c>
      <c r="N55" s="70"/>
      <c r="O55" s="70"/>
      <c r="P55" s="70">
        <f>5+8</f>
        <v>13</v>
      </c>
      <c r="Q55" s="70"/>
      <c r="R55" s="70"/>
      <c r="S55" s="70"/>
      <c r="T55" s="70"/>
      <c r="U55" s="70"/>
      <c r="V55" s="70">
        <f>5+5</f>
        <v>10</v>
      </c>
      <c r="W55" s="70"/>
      <c r="X55" s="70"/>
      <c r="Y55" s="70"/>
      <c r="Z55" s="70"/>
      <c r="AA55" s="70"/>
      <c r="AB55" s="70">
        <f>SUM(E55:AA55)</f>
        <v>96</v>
      </c>
      <c r="AC55" s="70">
        <f>AD55-AB55</f>
        <v>610</v>
      </c>
      <c r="AD55" s="70">
        <f>96+610</f>
        <v>706</v>
      </c>
      <c r="AE55" s="69">
        <f>(AB55/AD55)</f>
        <v>0.1359773371104816</v>
      </c>
      <c r="AF55" s="68" t="s">
        <v>71</v>
      </c>
    </row>
    <row r="56" spans="1:32" s="67" customFormat="1" ht="30" customHeight="1" x14ac:dyDescent="0.25">
      <c r="A56" s="71">
        <v>46144</v>
      </c>
      <c r="B56" s="70" t="s">
        <v>5</v>
      </c>
      <c r="C56" s="70" t="s">
        <v>4</v>
      </c>
      <c r="D56" s="70">
        <v>25</v>
      </c>
      <c r="E56" s="70">
        <v>56</v>
      </c>
      <c r="F56" s="70">
        <v>5</v>
      </c>
      <c r="G56" s="70"/>
      <c r="H56" s="70">
        <v>210</v>
      </c>
      <c r="I56" s="70">
        <v>15</v>
      </c>
      <c r="J56" s="70"/>
      <c r="K56" s="70">
        <v>15</v>
      </c>
      <c r="L56" s="70"/>
      <c r="M56" s="70">
        <v>90</v>
      </c>
      <c r="N56" s="70"/>
      <c r="O56" s="70"/>
      <c r="P56" s="70"/>
      <c r="Q56" s="70"/>
      <c r="R56" s="70"/>
      <c r="S56" s="70"/>
      <c r="T56" s="70"/>
      <c r="U56" s="70"/>
      <c r="V56" s="70">
        <f>9+20</f>
        <v>29</v>
      </c>
      <c r="W56" s="70"/>
      <c r="X56" s="70"/>
      <c r="Y56" s="70"/>
      <c r="Z56" s="70"/>
      <c r="AA56" s="70"/>
      <c r="AB56" s="70">
        <f>SUM(E56:AA56)</f>
        <v>420</v>
      </c>
      <c r="AC56" s="70">
        <f>AD56-AB56</f>
        <v>1000</v>
      </c>
      <c r="AD56" s="70">
        <f>420+1000</f>
        <v>1420</v>
      </c>
      <c r="AE56" s="69">
        <f>(AB56/AD56)</f>
        <v>0.29577464788732394</v>
      </c>
      <c r="AF56" s="68" t="s">
        <v>74</v>
      </c>
    </row>
    <row r="57" spans="1:32" s="67" customFormat="1" ht="30" customHeight="1" x14ac:dyDescent="0.25">
      <c r="A57" s="71">
        <v>46144</v>
      </c>
      <c r="B57" s="70" t="s">
        <v>73</v>
      </c>
      <c r="C57" s="70" t="s">
        <v>22</v>
      </c>
      <c r="D57" s="70">
        <v>26</v>
      </c>
      <c r="E57" s="70">
        <v>35</v>
      </c>
      <c r="F57" s="70">
        <v>55</v>
      </c>
      <c r="G57" s="70">
        <v>5</v>
      </c>
      <c r="H57" s="70">
        <v>5</v>
      </c>
      <c r="I57" s="70"/>
      <c r="J57" s="70"/>
      <c r="K57" s="70"/>
      <c r="L57" s="70"/>
      <c r="M57" s="70">
        <v>70</v>
      </c>
      <c r="N57" s="70"/>
      <c r="O57" s="70"/>
      <c r="P57" s="70">
        <v>5</v>
      </c>
      <c r="Q57" s="70"/>
      <c r="R57" s="70"/>
      <c r="S57" s="70"/>
      <c r="T57" s="70">
        <v>10</v>
      </c>
      <c r="U57" s="70"/>
      <c r="V57" s="70">
        <f>15+10</f>
        <v>25</v>
      </c>
      <c r="W57" s="70"/>
      <c r="X57" s="70"/>
      <c r="Y57" s="70"/>
      <c r="Z57" s="70"/>
      <c r="AA57" s="70"/>
      <c r="AB57" s="70">
        <f>SUM(E57:AA57)</f>
        <v>210</v>
      </c>
      <c r="AC57" s="70">
        <f>AD57-AB57</f>
        <v>285</v>
      </c>
      <c r="AD57" s="70">
        <f>210+285</f>
        <v>495</v>
      </c>
      <c r="AE57" s="69">
        <f>(AB57/AD57)</f>
        <v>0.42424242424242425</v>
      </c>
      <c r="AF57" s="68" t="s">
        <v>71</v>
      </c>
    </row>
    <row r="58" spans="1:32" s="67" customFormat="1" ht="30" customHeight="1" x14ac:dyDescent="0.25">
      <c r="A58" s="71">
        <v>46144</v>
      </c>
      <c r="B58" s="70" t="s">
        <v>78</v>
      </c>
      <c r="C58" s="70" t="s">
        <v>85</v>
      </c>
      <c r="D58" s="70">
        <v>27</v>
      </c>
      <c r="E58" s="70">
        <v>146</v>
      </c>
      <c r="F58" s="70">
        <v>5</v>
      </c>
      <c r="G58" s="70">
        <v>27</v>
      </c>
      <c r="H58" s="70">
        <v>10</v>
      </c>
      <c r="I58" s="70"/>
      <c r="J58" s="70"/>
      <c r="K58" s="70">
        <v>5</v>
      </c>
      <c r="L58" s="70"/>
      <c r="M58" s="70">
        <v>20</v>
      </c>
      <c r="N58" s="70"/>
      <c r="O58" s="70">
        <f>5+5</f>
        <v>10</v>
      </c>
      <c r="P58" s="70"/>
      <c r="Q58" s="70">
        <v>55</v>
      </c>
      <c r="R58" s="70"/>
      <c r="S58" s="70">
        <f>20+5</f>
        <v>25</v>
      </c>
      <c r="T58" s="70">
        <v>30</v>
      </c>
      <c r="U58" s="70"/>
      <c r="V58" s="70">
        <f>12+10</f>
        <v>22</v>
      </c>
      <c r="W58" s="70"/>
      <c r="X58" s="70"/>
      <c r="Y58" s="70"/>
      <c r="Z58" s="70"/>
      <c r="AA58" s="70"/>
      <c r="AB58" s="70">
        <f>SUM(E58:AA58)</f>
        <v>355</v>
      </c>
      <c r="AC58" s="70">
        <f>AD58-AB58</f>
        <v>580</v>
      </c>
      <c r="AD58" s="70">
        <f>355+580</f>
        <v>935</v>
      </c>
      <c r="AE58" s="69">
        <f>(AB58/AD58)</f>
        <v>0.37967914438502676</v>
      </c>
      <c r="AF58" s="68" t="s">
        <v>71</v>
      </c>
    </row>
    <row r="59" spans="1:32" s="67" customFormat="1" ht="30" customHeight="1" x14ac:dyDescent="0.25">
      <c r="A59" s="71">
        <v>46144</v>
      </c>
      <c r="B59" s="70" t="s">
        <v>1</v>
      </c>
      <c r="C59" s="70" t="s">
        <v>0</v>
      </c>
      <c r="D59" s="70">
        <v>28</v>
      </c>
      <c r="E59" s="70"/>
      <c r="F59" s="70">
        <f>2+3+3+6+3+5</f>
        <v>22</v>
      </c>
      <c r="G59" s="70">
        <f>3+7+5+3+3+7</f>
        <v>28</v>
      </c>
      <c r="H59" s="70">
        <f>4+3</f>
        <v>7</v>
      </c>
      <c r="I59" s="70"/>
      <c r="J59" s="70"/>
      <c r="K59" s="70"/>
      <c r="L59" s="70"/>
      <c r="M59" s="70">
        <f>9+5+5</f>
        <v>19</v>
      </c>
      <c r="N59" s="70"/>
      <c r="O59" s="70"/>
      <c r="P59" s="70">
        <f>5+3</f>
        <v>8</v>
      </c>
      <c r="Q59" s="70"/>
      <c r="R59" s="70"/>
      <c r="S59" s="70"/>
      <c r="T59" s="70"/>
      <c r="U59" s="70"/>
      <c r="V59" s="70">
        <f>3</f>
        <v>3</v>
      </c>
      <c r="W59" s="70"/>
      <c r="X59" s="70"/>
      <c r="Y59" s="70"/>
      <c r="Z59" s="70"/>
      <c r="AA59" s="70"/>
      <c r="AB59" s="70">
        <f>SUM(E59:AA59)</f>
        <v>87</v>
      </c>
      <c r="AC59" s="70">
        <f>AD59-AB59</f>
        <v>290</v>
      </c>
      <c r="AD59" s="70">
        <f>87+290</f>
        <v>377</v>
      </c>
      <c r="AE59" s="69">
        <f>(AB59/AD59)</f>
        <v>0.23076923076923078</v>
      </c>
      <c r="AF59" s="68" t="s">
        <v>71</v>
      </c>
    </row>
    <row r="60" spans="1:32" s="72" customFormat="1" ht="30" customHeight="1" x14ac:dyDescent="0.25">
      <c r="A60" s="76">
        <v>46146</v>
      </c>
      <c r="B60" s="75" t="s">
        <v>1</v>
      </c>
      <c r="C60" s="75" t="s">
        <v>26</v>
      </c>
      <c r="D60" s="75">
        <v>1</v>
      </c>
      <c r="E60" s="75">
        <f>20+18+17</f>
        <v>55</v>
      </c>
      <c r="F60" s="75">
        <f>40+17+10+10</f>
        <v>77</v>
      </c>
      <c r="G60" s="75"/>
      <c r="H60" s="75"/>
      <c r="I60" s="75"/>
      <c r="J60" s="75">
        <f>18</f>
        <v>18</v>
      </c>
      <c r="K60" s="75"/>
      <c r="L60" s="75"/>
      <c r="M60" s="75">
        <f>20+13+28+10</f>
        <v>71</v>
      </c>
      <c r="N60" s="75"/>
      <c r="O60" s="75"/>
      <c r="P60" s="75">
        <f>14</f>
        <v>14</v>
      </c>
      <c r="Q60" s="75"/>
      <c r="R60" s="75"/>
      <c r="S60" s="75"/>
      <c r="T60" s="75">
        <f>26+25</f>
        <v>51</v>
      </c>
      <c r="U60" s="75"/>
      <c r="V60" s="75">
        <f>16</f>
        <v>16</v>
      </c>
      <c r="W60" s="75"/>
      <c r="X60" s="75"/>
      <c r="Y60" s="75"/>
      <c r="Z60" s="75"/>
      <c r="AA60" s="75"/>
      <c r="AB60" s="75">
        <f>SUM(E60:AA60)</f>
        <v>302</v>
      </c>
      <c r="AC60" s="75">
        <f>AD60-AB60</f>
        <v>560</v>
      </c>
      <c r="AD60" s="75">
        <f>302+560</f>
        <v>862</v>
      </c>
      <c r="AE60" s="74">
        <f>(AB60/AD60)</f>
        <v>0.35034802784222741</v>
      </c>
      <c r="AF60" s="73" t="s">
        <v>71</v>
      </c>
    </row>
    <row r="61" spans="1:32" s="67" customFormat="1" ht="30" customHeight="1" x14ac:dyDescent="0.25">
      <c r="A61" s="71">
        <v>46146</v>
      </c>
      <c r="B61" s="70" t="s">
        <v>78</v>
      </c>
      <c r="C61" s="70" t="s">
        <v>21</v>
      </c>
      <c r="D61" s="70">
        <v>2</v>
      </c>
      <c r="E61" s="70">
        <f>28+15+58+24+42+33</f>
        <v>200</v>
      </c>
      <c r="F61" s="70">
        <f>13+28</f>
        <v>41</v>
      </c>
      <c r="G61" s="70">
        <v>3</v>
      </c>
      <c r="H61" s="70">
        <v>18</v>
      </c>
      <c r="I61" s="70"/>
      <c r="J61" s="70"/>
      <c r="K61" s="70"/>
      <c r="L61" s="70"/>
      <c r="M61" s="70">
        <v>15</v>
      </c>
      <c r="N61" s="70"/>
      <c r="O61" s="70"/>
      <c r="P61" s="70">
        <v>100</v>
      </c>
      <c r="Q61" s="70">
        <v>101</v>
      </c>
      <c r="R61" s="70">
        <v>23</v>
      </c>
      <c r="S61" s="70"/>
      <c r="T61" s="70">
        <v>84</v>
      </c>
      <c r="U61" s="70"/>
      <c r="V61" s="70">
        <v>81</v>
      </c>
      <c r="W61" s="70"/>
      <c r="X61" s="70"/>
      <c r="Y61" s="70"/>
      <c r="Z61" s="70"/>
      <c r="AA61" s="70">
        <f>18+16</f>
        <v>34</v>
      </c>
      <c r="AB61" s="70">
        <f>SUM(E61:AA61)</f>
        <v>700</v>
      </c>
      <c r="AC61" s="70">
        <f>AD61-AB61</f>
        <v>1155</v>
      </c>
      <c r="AD61" s="70">
        <f>700+1155</f>
        <v>1855</v>
      </c>
      <c r="AE61" s="69">
        <f>(AB61/AD61)</f>
        <v>0.37735849056603776</v>
      </c>
      <c r="AF61" s="68" t="s">
        <v>71</v>
      </c>
    </row>
    <row r="62" spans="1:32" s="67" customFormat="1" ht="30" customHeight="1" x14ac:dyDescent="0.25">
      <c r="A62" s="71">
        <v>46146</v>
      </c>
      <c r="B62" s="70" t="s">
        <v>1</v>
      </c>
      <c r="C62" s="70" t="s">
        <v>9</v>
      </c>
      <c r="D62" s="70">
        <v>3</v>
      </c>
      <c r="E62" s="70">
        <v>21</v>
      </c>
      <c r="F62" s="70">
        <v>12</v>
      </c>
      <c r="G62" s="70">
        <v>4</v>
      </c>
      <c r="H62" s="70">
        <v>10</v>
      </c>
      <c r="I62" s="70">
        <v>3</v>
      </c>
      <c r="J62" s="70">
        <v>5</v>
      </c>
      <c r="K62" s="70">
        <v>16</v>
      </c>
      <c r="L62" s="70"/>
      <c r="M62" s="70">
        <v>50</v>
      </c>
      <c r="N62" s="70"/>
      <c r="O62" s="70">
        <v>13</v>
      </c>
      <c r="P62" s="70">
        <v>32</v>
      </c>
      <c r="Q62" s="70"/>
      <c r="R62" s="70"/>
      <c r="S62" s="70">
        <v>4</v>
      </c>
      <c r="T62" s="70">
        <v>17</v>
      </c>
      <c r="U62" s="70"/>
      <c r="V62" s="70">
        <f>21+28+20</f>
        <v>69</v>
      </c>
      <c r="W62" s="70"/>
      <c r="X62" s="70"/>
      <c r="Y62" s="70"/>
      <c r="Z62" s="70"/>
      <c r="AA62" s="70"/>
      <c r="AB62" s="70">
        <f>SUM(E62:AA62)</f>
        <v>256</v>
      </c>
      <c r="AC62" s="70">
        <f>AD62-AB62</f>
        <v>640</v>
      </c>
      <c r="AD62" s="70">
        <f>256+640</f>
        <v>896</v>
      </c>
      <c r="AE62" s="69">
        <f>(AB62/AD62)</f>
        <v>0.2857142857142857</v>
      </c>
      <c r="AF62" s="68" t="s">
        <v>71</v>
      </c>
    </row>
    <row r="63" spans="1:32" s="67" customFormat="1" ht="30" customHeight="1" x14ac:dyDescent="0.25">
      <c r="A63" s="71">
        <v>46146</v>
      </c>
      <c r="B63" s="70" t="s">
        <v>1</v>
      </c>
      <c r="C63" s="70" t="s">
        <v>16</v>
      </c>
      <c r="D63" s="70">
        <v>4</v>
      </c>
      <c r="E63" s="70">
        <f>5+20+45+5+5</f>
        <v>80</v>
      </c>
      <c r="F63" s="70"/>
      <c r="G63" s="70"/>
      <c r="H63" s="70"/>
      <c r="I63" s="70"/>
      <c r="J63" s="70"/>
      <c r="K63" s="70"/>
      <c r="L63" s="70">
        <f>5+15</f>
        <v>20</v>
      </c>
      <c r="M63" s="70">
        <f>35+10+5+25+5+15</f>
        <v>95</v>
      </c>
      <c r="N63" s="70">
        <f>5</f>
        <v>5</v>
      </c>
      <c r="O63" s="70"/>
      <c r="P63" s="70">
        <f>10</f>
        <v>10</v>
      </c>
      <c r="Q63" s="70"/>
      <c r="R63" s="70">
        <f>40+10</f>
        <v>50</v>
      </c>
      <c r="S63" s="70"/>
      <c r="T63" s="70"/>
      <c r="U63" s="70"/>
      <c r="V63" s="70">
        <f>5+20+8+5+15+10</f>
        <v>63</v>
      </c>
      <c r="W63" s="70"/>
      <c r="X63" s="70"/>
      <c r="Y63" s="70">
        <v>5</v>
      </c>
      <c r="Z63" s="70"/>
      <c r="AA63" s="70"/>
      <c r="AB63" s="70">
        <f>SUM(E63:AA63)</f>
        <v>328</v>
      </c>
      <c r="AC63" s="70">
        <f>AD63-AB63</f>
        <v>1004</v>
      </c>
      <c r="AD63" s="70">
        <f>328+1004</f>
        <v>1332</v>
      </c>
      <c r="AE63" s="69">
        <f>(AB63/AD63)</f>
        <v>0.24624624624624625</v>
      </c>
      <c r="AF63" s="68" t="s">
        <v>71</v>
      </c>
    </row>
    <row r="64" spans="1:32" s="67" customFormat="1" ht="30" customHeight="1" x14ac:dyDescent="0.25">
      <c r="A64" s="71">
        <v>46146</v>
      </c>
      <c r="B64" s="70" t="s">
        <v>1</v>
      </c>
      <c r="C64" s="70" t="s">
        <v>16</v>
      </c>
      <c r="D64" s="70">
        <v>5</v>
      </c>
      <c r="E64" s="70">
        <f>25+67+29</f>
        <v>121</v>
      </c>
      <c r="F64" s="70">
        <f>35+20+39+47</f>
        <v>141</v>
      </c>
      <c r="G64" s="70">
        <f>33</f>
        <v>33</v>
      </c>
      <c r="H64" s="70">
        <f>15</f>
        <v>15</v>
      </c>
      <c r="I64" s="70">
        <f>85</f>
        <v>85</v>
      </c>
      <c r="J64" s="70"/>
      <c r="K64" s="70"/>
      <c r="L64" s="70"/>
      <c r="M64" s="70">
        <f>100+31+76+65</f>
        <v>272</v>
      </c>
      <c r="N64" s="70">
        <f>85</f>
        <v>85</v>
      </c>
      <c r="O64" s="70"/>
      <c r="P64" s="70">
        <f>101+25+20</f>
        <v>146</v>
      </c>
      <c r="Q64" s="70"/>
      <c r="R64" s="70">
        <f>67</f>
        <v>67</v>
      </c>
      <c r="S64" s="70"/>
      <c r="T64" s="70"/>
      <c r="U64" s="70"/>
      <c r="V64" s="70">
        <f>65+106+30+40+65</f>
        <v>306</v>
      </c>
      <c r="W64" s="70"/>
      <c r="X64" s="70"/>
      <c r="Y64" s="70"/>
      <c r="Z64" s="70"/>
      <c r="AA64" s="70"/>
      <c r="AB64" s="70">
        <f>SUM(E64:AA64)</f>
        <v>1271</v>
      </c>
      <c r="AC64" s="70">
        <f>AD64-AB64</f>
        <v>1584</v>
      </c>
      <c r="AD64" s="70">
        <f>1271+1584</f>
        <v>2855</v>
      </c>
      <c r="AE64" s="69">
        <f>(AB64/AD64)</f>
        <v>0.44518388791593694</v>
      </c>
      <c r="AF64" s="68" t="s">
        <v>71</v>
      </c>
    </row>
    <row r="65" spans="1:32" s="67" customFormat="1" ht="30" customHeight="1" x14ac:dyDescent="0.25">
      <c r="A65" s="71">
        <v>46146</v>
      </c>
      <c r="B65" s="70" t="s">
        <v>1</v>
      </c>
      <c r="C65" s="70" t="s">
        <v>15</v>
      </c>
      <c r="D65" s="70">
        <v>6</v>
      </c>
      <c r="E65" s="70">
        <v>159</v>
      </c>
      <c r="F65" s="70">
        <v>25</v>
      </c>
      <c r="G65" s="70">
        <v>32</v>
      </c>
      <c r="H65" s="70">
        <v>137</v>
      </c>
      <c r="I65" s="70"/>
      <c r="J65" s="70">
        <v>10</v>
      </c>
      <c r="K65" s="70"/>
      <c r="L65" s="70"/>
      <c r="M65" s="70">
        <v>61</v>
      </c>
      <c r="N65" s="70">
        <v>20</v>
      </c>
      <c r="O65" s="70"/>
      <c r="P65" s="70">
        <v>115</v>
      </c>
      <c r="Q65" s="70"/>
      <c r="R65" s="70">
        <v>36</v>
      </c>
      <c r="S65" s="70"/>
      <c r="T65" s="70">
        <v>37</v>
      </c>
      <c r="U65" s="70"/>
      <c r="V65" s="70">
        <f>116+5</f>
        <v>121</v>
      </c>
      <c r="W65" s="70"/>
      <c r="X65" s="70"/>
      <c r="Y65" s="70">
        <v>20</v>
      </c>
      <c r="Z65" s="70"/>
      <c r="AA65" s="70"/>
      <c r="AB65" s="70">
        <f>SUM(E65:AA65)</f>
        <v>773</v>
      </c>
      <c r="AC65" s="70">
        <f>AD65-AB65</f>
        <v>1120</v>
      </c>
      <c r="AD65" s="70">
        <f>773+1120</f>
        <v>1893</v>
      </c>
      <c r="AE65" s="69">
        <f>(AB65/AD65)</f>
        <v>0.40834653988378233</v>
      </c>
      <c r="AF65" s="68" t="s">
        <v>71</v>
      </c>
    </row>
    <row r="66" spans="1:32" s="67" customFormat="1" ht="30" customHeight="1" x14ac:dyDescent="0.25">
      <c r="A66" s="71">
        <v>46146</v>
      </c>
      <c r="B66" s="70" t="s">
        <v>1</v>
      </c>
      <c r="C66" s="70" t="s">
        <v>14</v>
      </c>
      <c r="D66" s="70">
        <v>7</v>
      </c>
      <c r="E66" s="70">
        <v>70</v>
      </c>
      <c r="F66" s="70">
        <v>15</v>
      </c>
      <c r="G66" s="70">
        <v>39</v>
      </c>
      <c r="H66" s="70">
        <v>5</v>
      </c>
      <c r="I66" s="70"/>
      <c r="J66" s="70">
        <v>15</v>
      </c>
      <c r="K66" s="70"/>
      <c r="L66" s="70"/>
      <c r="M66" s="70">
        <v>3</v>
      </c>
      <c r="N66" s="70"/>
      <c r="O66" s="70">
        <v>25</v>
      </c>
      <c r="P66" s="70">
        <v>10</v>
      </c>
      <c r="Q66" s="70">
        <v>10</v>
      </c>
      <c r="R66" s="70"/>
      <c r="S66" s="70">
        <v>20</v>
      </c>
      <c r="T66" s="70"/>
      <c r="U66" s="70"/>
      <c r="V66" s="70">
        <f>25+10</f>
        <v>35</v>
      </c>
      <c r="W66" s="70"/>
      <c r="X66" s="70"/>
      <c r="Y66" s="70"/>
      <c r="Z66" s="70"/>
      <c r="AA66" s="70"/>
      <c r="AB66" s="70">
        <f>SUM(E66:AA66)</f>
        <v>247</v>
      </c>
      <c r="AC66" s="70">
        <f>AD66-AB66</f>
        <v>388</v>
      </c>
      <c r="AD66" s="70">
        <f>247+388</f>
        <v>635</v>
      </c>
      <c r="AE66" s="69">
        <f>(AB66/AD66)</f>
        <v>0.38897637795275591</v>
      </c>
      <c r="AF66" s="68" t="s">
        <v>71</v>
      </c>
    </row>
    <row r="67" spans="1:32" s="67" customFormat="1" ht="30" customHeight="1" x14ac:dyDescent="0.25">
      <c r="A67" s="71">
        <v>46146</v>
      </c>
      <c r="B67" s="70" t="s">
        <v>73</v>
      </c>
      <c r="C67" s="70" t="s">
        <v>83</v>
      </c>
      <c r="D67" s="70">
        <v>8</v>
      </c>
      <c r="E67" s="70">
        <f>13+26+21+22+5+5+12+15+8+10+10</f>
        <v>147</v>
      </c>
      <c r="F67" s="70">
        <f>5+5+5+10+7</f>
        <v>32</v>
      </c>
      <c r="G67" s="70">
        <f>17+2+8</f>
        <v>27</v>
      </c>
      <c r="H67" s="70">
        <f>33+18+10+5+5</f>
        <v>71</v>
      </c>
      <c r="I67" s="70"/>
      <c r="J67" s="70"/>
      <c r="K67" s="70"/>
      <c r="L67" s="70"/>
      <c r="M67" s="70">
        <f>10+9+10+5</f>
        <v>34</v>
      </c>
      <c r="N67" s="70"/>
      <c r="O67" s="70">
        <f>14</f>
        <v>14</v>
      </c>
      <c r="P67" s="70">
        <f>12+13+15</f>
        <v>40</v>
      </c>
      <c r="Q67" s="70">
        <f>7</f>
        <v>7</v>
      </c>
      <c r="R67" s="70"/>
      <c r="S67" s="70"/>
      <c r="T67" s="70">
        <f>41+26+11+36</f>
        <v>114</v>
      </c>
      <c r="U67" s="70"/>
      <c r="V67" s="70">
        <f>10+32+54+10+15+8+10+10</f>
        <v>149</v>
      </c>
      <c r="W67" s="70"/>
      <c r="X67" s="70"/>
      <c r="Y67" s="70"/>
      <c r="Z67" s="70"/>
      <c r="AA67" s="70"/>
      <c r="AB67" s="70">
        <f>SUM(E67:AA67)</f>
        <v>635</v>
      </c>
      <c r="AC67" s="70">
        <f>AD67-AB67</f>
        <v>910</v>
      </c>
      <c r="AD67" s="70">
        <f>635+910</f>
        <v>1545</v>
      </c>
      <c r="AE67" s="69">
        <f>(AB67/AD67)</f>
        <v>0.4110032362459547</v>
      </c>
      <c r="AF67" s="68" t="s">
        <v>71</v>
      </c>
    </row>
    <row r="68" spans="1:32" s="67" customFormat="1" ht="30" customHeight="1" x14ac:dyDescent="0.25">
      <c r="A68" s="71">
        <v>46146</v>
      </c>
      <c r="B68" s="70" t="s">
        <v>1</v>
      </c>
      <c r="C68" s="70" t="s">
        <v>12</v>
      </c>
      <c r="D68" s="70">
        <v>9</v>
      </c>
      <c r="E68" s="70">
        <v>271</v>
      </c>
      <c r="F68" s="70">
        <v>49</v>
      </c>
      <c r="G68" s="70">
        <v>24</v>
      </c>
      <c r="H68" s="70">
        <v>51</v>
      </c>
      <c r="I68" s="70">
        <v>20</v>
      </c>
      <c r="J68" s="70">
        <v>18</v>
      </c>
      <c r="K68" s="70"/>
      <c r="L68" s="70"/>
      <c r="M68" s="70">
        <v>112</v>
      </c>
      <c r="N68" s="70">
        <v>20</v>
      </c>
      <c r="O68" s="70"/>
      <c r="P68" s="70">
        <v>28</v>
      </c>
      <c r="Q68" s="70"/>
      <c r="R68" s="70"/>
      <c r="S68" s="70"/>
      <c r="T68" s="70">
        <v>21</v>
      </c>
      <c r="U68" s="70"/>
      <c r="V68" s="70">
        <f>64+6</f>
        <v>70</v>
      </c>
      <c r="W68" s="70">
        <v>3</v>
      </c>
      <c r="X68" s="70"/>
      <c r="Y68" s="70">
        <v>53</v>
      </c>
      <c r="Z68" s="70"/>
      <c r="AA68" s="70"/>
      <c r="AB68" s="70">
        <f>SUM(E68:AA68)</f>
        <v>740</v>
      </c>
      <c r="AC68" s="70">
        <f>AD68-AB68</f>
        <v>1696</v>
      </c>
      <c r="AD68" s="70">
        <f>740+1696</f>
        <v>2436</v>
      </c>
      <c r="AE68" s="69">
        <f>(AB68/AD68)</f>
        <v>0.30377668308702793</v>
      </c>
      <c r="AF68" s="68" t="s">
        <v>71</v>
      </c>
    </row>
    <row r="69" spans="1:32" s="67" customFormat="1" ht="30" customHeight="1" x14ac:dyDescent="0.25">
      <c r="A69" s="71">
        <v>46146</v>
      </c>
      <c r="B69" s="70" t="s">
        <v>1</v>
      </c>
      <c r="C69" s="70" t="s">
        <v>0</v>
      </c>
      <c r="D69" s="70">
        <v>10</v>
      </c>
      <c r="E69" s="70">
        <v>53</v>
      </c>
      <c r="F69" s="70">
        <v>8</v>
      </c>
      <c r="G69" s="70">
        <v>20</v>
      </c>
      <c r="H69" s="70"/>
      <c r="I69" s="70"/>
      <c r="J69" s="70">
        <v>5</v>
      </c>
      <c r="K69" s="70"/>
      <c r="L69" s="70">
        <v>2</v>
      </c>
      <c r="M69" s="70">
        <v>19</v>
      </c>
      <c r="N69" s="70"/>
      <c r="O69" s="70"/>
      <c r="P69" s="70">
        <v>28</v>
      </c>
      <c r="Q69" s="70"/>
      <c r="R69" s="70"/>
      <c r="S69" s="70"/>
      <c r="T69" s="70"/>
      <c r="U69" s="70"/>
      <c r="V69" s="70">
        <v>81</v>
      </c>
      <c r="W69" s="70"/>
      <c r="X69" s="70"/>
      <c r="Y69" s="70"/>
      <c r="Z69" s="70"/>
      <c r="AA69" s="70"/>
      <c r="AB69" s="70">
        <f>SUM(E69:AA69)</f>
        <v>216</v>
      </c>
      <c r="AC69" s="70">
        <f>AD69-AB69</f>
        <v>464</v>
      </c>
      <c r="AD69" s="70">
        <f>216+464</f>
        <v>680</v>
      </c>
      <c r="AE69" s="69">
        <f>(AB69/AD69)</f>
        <v>0.31764705882352939</v>
      </c>
      <c r="AF69" s="68" t="s">
        <v>71</v>
      </c>
    </row>
    <row r="70" spans="1:32" s="67" customFormat="1" ht="30" customHeight="1" x14ac:dyDescent="0.25">
      <c r="A70" s="71">
        <v>46146</v>
      </c>
      <c r="B70" s="70" t="s">
        <v>1</v>
      </c>
      <c r="C70" s="70" t="s">
        <v>10</v>
      </c>
      <c r="D70" s="70">
        <v>11</v>
      </c>
      <c r="E70" s="70">
        <v>125</v>
      </c>
      <c r="F70" s="70">
        <v>42</v>
      </c>
      <c r="G70" s="70">
        <v>5</v>
      </c>
      <c r="H70" s="70">
        <v>20</v>
      </c>
      <c r="I70" s="70"/>
      <c r="J70" s="70">
        <v>5</v>
      </c>
      <c r="K70" s="70"/>
      <c r="L70" s="70"/>
      <c r="M70" s="70">
        <v>46</v>
      </c>
      <c r="N70" s="70"/>
      <c r="O70" s="70"/>
      <c r="P70" s="70">
        <v>46</v>
      </c>
      <c r="Q70" s="70"/>
      <c r="R70" s="70">
        <v>8</v>
      </c>
      <c r="S70" s="70"/>
      <c r="T70" s="70">
        <v>15</v>
      </c>
      <c r="U70" s="70"/>
      <c r="V70" s="70">
        <f>11+24</f>
        <v>35</v>
      </c>
      <c r="W70" s="70"/>
      <c r="X70" s="70"/>
      <c r="Y70" s="70"/>
      <c r="Z70" s="70"/>
      <c r="AA70" s="70">
        <v>13</v>
      </c>
      <c r="AB70" s="70">
        <f>SUM(E70:AA70)</f>
        <v>360</v>
      </c>
      <c r="AC70" s="70">
        <f>AD70-AB70</f>
        <v>864</v>
      </c>
      <c r="AD70" s="70">
        <f>360+864</f>
        <v>1224</v>
      </c>
      <c r="AE70" s="69">
        <f>(AB70/AD70)</f>
        <v>0.29411764705882354</v>
      </c>
      <c r="AF70" s="68" t="s">
        <v>71</v>
      </c>
    </row>
    <row r="71" spans="1:32" s="67" customFormat="1" ht="30" customHeight="1" x14ac:dyDescent="0.25">
      <c r="A71" s="71">
        <v>46146</v>
      </c>
      <c r="B71" s="70" t="s">
        <v>78</v>
      </c>
      <c r="C71" s="70" t="s">
        <v>18</v>
      </c>
      <c r="D71" s="70">
        <v>13</v>
      </c>
      <c r="E71" s="70">
        <v>125</v>
      </c>
      <c r="F71" s="70">
        <v>20</v>
      </c>
      <c r="G71" s="70">
        <v>35</v>
      </c>
      <c r="H71" s="70">
        <v>30</v>
      </c>
      <c r="I71" s="70">
        <v>15</v>
      </c>
      <c r="J71" s="70"/>
      <c r="K71" s="70"/>
      <c r="L71" s="70"/>
      <c r="M71" s="70">
        <v>35</v>
      </c>
      <c r="N71" s="70"/>
      <c r="O71" s="70">
        <v>10</v>
      </c>
      <c r="P71" s="70">
        <v>180</v>
      </c>
      <c r="Q71" s="70"/>
      <c r="R71" s="70"/>
      <c r="S71" s="70"/>
      <c r="T71" s="70"/>
      <c r="U71" s="70"/>
      <c r="V71" s="70">
        <f>15+25+25+20+15+20+15+15+5+5+15</f>
        <v>175</v>
      </c>
      <c r="W71" s="70"/>
      <c r="X71" s="70"/>
      <c r="Y71" s="70"/>
      <c r="Z71" s="70"/>
      <c r="AA71" s="70"/>
      <c r="AB71" s="70">
        <f>SUM(E71:AA71)</f>
        <v>625</v>
      </c>
      <c r="AC71" s="70">
        <f>AD71-AB71</f>
        <v>1450</v>
      </c>
      <c r="AD71" s="70">
        <f>635+1440</f>
        <v>2075</v>
      </c>
      <c r="AE71" s="69">
        <f>(AB71/AD71)</f>
        <v>0.30120481927710846</v>
      </c>
      <c r="AF71" s="68" t="s">
        <v>71</v>
      </c>
    </row>
    <row r="72" spans="1:32" s="67" customFormat="1" ht="30" customHeight="1" x14ac:dyDescent="0.25">
      <c r="A72" s="71">
        <v>46146</v>
      </c>
      <c r="B72" s="70" t="s">
        <v>1</v>
      </c>
      <c r="C72" s="70" t="s">
        <v>8</v>
      </c>
      <c r="D72" s="70">
        <v>14</v>
      </c>
      <c r="E72" s="70">
        <f>8+10+8+5</f>
        <v>31</v>
      </c>
      <c r="F72" s="70">
        <f>4+9+4+4</f>
        <v>21</v>
      </c>
      <c r="G72" s="70">
        <f>5</f>
        <v>5</v>
      </c>
      <c r="H72" s="70"/>
      <c r="I72" s="70"/>
      <c r="J72" s="70"/>
      <c r="K72" s="70">
        <v>12</v>
      </c>
      <c r="L72" s="70">
        <v>15</v>
      </c>
      <c r="M72" s="70">
        <f>24+13+4+5</f>
        <v>46</v>
      </c>
      <c r="N72" s="70"/>
      <c r="O72" s="70">
        <v>13</v>
      </c>
      <c r="P72" s="70">
        <f>13+7</f>
        <v>20</v>
      </c>
      <c r="Q72" s="70"/>
      <c r="R72" s="70"/>
      <c r="S72" s="70"/>
      <c r="T72" s="70">
        <v>8</v>
      </c>
      <c r="U72" s="70"/>
      <c r="V72" s="70">
        <f>4+4+8+5</f>
        <v>21</v>
      </c>
      <c r="W72" s="70"/>
      <c r="X72" s="70"/>
      <c r="Y72" s="70"/>
      <c r="Z72" s="70"/>
      <c r="AA72" s="70">
        <f>11+17</f>
        <v>28</v>
      </c>
      <c r="AB72" s="70">
        <f>SUM(E72:AA72)</f>
        <v>220</v>
      </c>
      <c r="AC72" s="70">
        <f>AD72-AB72</f>
        <v>640</v>
      </c>
      <c r="AD72" s="70">
        <f>220+640</f>
        <v>860</v>
      </c>
      <c r="AE72" s="69">
        <f>(AB72/AD72)</f>
        <v>0.2558139534883721</v>
      </c>
      <c r="AF72" s="68" t="s">
        <v>71</v>
      </c>
    </row>
    <row r="73" spans="1:32" s="67" customFormat="1" ht="30" customHeight="1" x14ac:dyDescent="0.25">
      <c r="A73" s="71">
        <v>46146</v>
      </c>
      <c r="B73" s="70" t="s">
        <v>73</v>
      </c>
      <c r="C73" s="70" t="s">
        <v>7</v>
      </c>
      <c r="D73" s="70">
        <v>15</v>
      </c>
      <c r="E73" s="70"/>
      <c r="F73" s="70">
        <f>12+10+16+2</f>
        <v>40</v>
      </c>
      <c r="G73" s="70"/>
      <c r="H73" s="70"/>
      <c r="I73" s="70"/>
      <c r="J73" s="70"/>
      <c r="K73" s="70">
        <f>5</f>
        <v>5</v>
      </c>
      <c r="L73" s="70">
        <v>9</v>
      </c>
      <c r="M73" s="70">
        <f>11+3+9+6</f>
        <v>29</v>
      </c>
      <c r="N73" s="70"/>
      <c r="O73" s="70"/>
      <c r="P73" s="70">
        <f>8</f>
        <v>8</v>
      </c>
      <c r="Q73" s="70"/>
      <c r="R73" s="70"/>
      <c r="S73" s="70"/>
      <c r="T73" s="70">
        <f>3+3</f>
        <v>6</v>
      </c>
      <c r="U73" s="70"/>
      <c r="V73" s="70">
        <f>3+5</f>
        <v>8</v>
      </c>
      <c r="W73" s="70"/>
      <c r="X73" s="70"/>
      <c r="Y73" s="70"/>
      <c r="Z73" s="70"/>
      <c r="AA73" s="70"/>
      <c r="AB73" s="70">
        <f>SUM(E73:AA73)</f>
        <v>105</v>
      </c>
      <c r="AC73" s="70">
        <f>AD73-AB73</f>
        <v>157</v>
      </c>
      <c r="AD73" s="70">
        <f>105+157</f>
        <v>262</v>
      </c>
      <c r="AE73" s="69">
        <f>(AB73/AD73)</f>
        <v>0.40076335877862596</v>
      </c>
      <c r="AF73" s="68" t="s">
        <v>71</v>
      </c>
    </row>
    <row r="74" spans="1:32" s="67" customFormat="1" ht="30" customHeight="1" x14ac:dyDescent="0.25">
      <c r="A74" s="71">
        <v>46146</v>
      </c>
      <c r="B74" s="70" t="s">
        <v>1</v>
      </c>
      <c r="C74" s="70" t="s">
        <v>10</v>
      </c>
      <c r="D74" s="70">
        <v>16</v>
      </c>
      <c r="E74" s="70">
        <v>102</v>
      </c>
      <c r="F74" s="70">
        <v>37</v>
      </c>
      <c r="G74" s="70">
        <v>40</v>
      </c>
      <c r="H74" s="70">
        <v>13</v>
      </c>
      <c r="I74" s="70"/>
      <c r="J74" s="70"/>
      <c r="K74" s="70">
        <v>6</v>
      </c>
      <c r="L74" s="70"/>
      <c r="M74" s="70">
        <v>88</v>
      </c>
      <c r="N74" s="70"/>
      <c r="O74" s="70">
        <v>4</v>
      </c>
      <c r="P74" s="70">
        <v>64</v>
      </c>
      <c r="Q74" s="70"/>
      <c r="R74" s="70"/>
      <c r="S74" s="70"/>
      <c r="T74" s="70">
        <v>34</v>
      </c>
      <c r="U74" s="70"/>
      <c r="V74" s="70">
        <f>27+7</f>
        <v>34</v>
      </c>
      <c r="W74" s="70"/>
      <c r="X74" s="70"/>
      <c r="Y74" s="70"/>
      <c r="Z74" s="70"/>
      <c r="AA74" s="70">
        <f>4+24</f>
        <v>28</v>
      </c>
      <c r="AB74" s="70">
        <f>SUM(E74:AA74)</f>
        <v>450</v>
      </c>
      <c r="AC74" s="70">
        <f>AD74-AB74</f>
        <v>880</v>
      </c>
      <c r="AD74" s="70">
        <f>450+880</f>
        <v>1330</v>
      </c>
      <c r="AE74" s="69">
        <f>(AB74/AD74)</f>
        <v>0.33834586466165412</v>
      </c>
      <c r="AF74" s="68" t="s">
        <v>71</v>
      </c>
    </row>
    <row r="75" spans="1:32" s="67" customFormat="1" ht="30" customHeight="1" x14ac:dyDescent="0.25">
      <c r="A75" s="71">
        <v>46146</v>
      </c>
      <c r="B75" s="70" t="s">
        <v>73</v>
      </c>
      <c r="C75" s="70" t="s">
        <v>12</v>
      </c>
      <c r="D75" s="70">
        <v>17</v>
      </c>
      <c r="E75" s="70">
        <f>73+10+45+5</f>
        <v>133</v>
      </c>
      <c r="F75" s="70"/>
      <c r="G75" s="70">
        <f>11</f>
        <v>11</v>
      </c>
      <c r="H75" s="70"/>
      <c r="I75" s="70">
        <f>19</f>
        <v>19</v>
      </c>
      <c r="J75" s="70">
        <f>5+5+68</f>
        <v>78</v>
      </c>
      <c r="K75" s="70"/>
      <c r="L75" s="70"/>
      <c r="M75" s="70">
        <f>10+5+10</f>
        <v>25</v>
      </c>
      <c r="N75" s="70"/>
      <c r="O75" s="70"/>
      <c r="P75" s="70">
        <f>5</f>
        <v>5</v>
      </c>
      <c r="Q75" s="70"/>
      <c r="R75" s="70"/>
      <c r="S75" s="70"/>
      <c r="T75" s="70"/>
      <c r="U75" s="70"/>
      <c r="V75" s="70">
        <f>26+5+7+32</f>
        <v>70</v>
      </c>
      <c r="W75" s="70"/>
      <c r="X75" s="70"/>
      <c r="Y75" s="70"/>
      <c r="Z75" s="70"/>
      <c r="AA75" s="70"/>
      <c r="AB75" s="70">
        <f>SUM(E75:AA75)</f>
        <v>341</v>
      </c>
      <c r="AC75" s="70">
        <f>AD75-AB75</f>
        <v>1696</v>
      </c>
      <c r="AD75" s="70">
        <f>341+1696</f>
        <v>2037</v>
      </c>
      <c r="AE75" s="69">
        <f>(AB75/AD75)</f>
        <v>0.16740304369170347</v>
      </c>
      <c r="AF75" s="68" t="s">
        <v>71</v>
      </c>
    </row>
    <row r="76" spans="1:32" s="67" customFormat="1" ht="30" customHeight="1" x14ac:dyDescent="0.25">
      <c r="A76" s="71">
        <v>46146</v>
      </c>
      <c r="B76" s="70" t="s">
        <v>1</v>
      </c>
      <c r="C76" s="70" t="s">
        <v>6</v>
      </c>
      <c r="D76" s="70">
        <v>18</v>
      </c>
      <c r="E76" s="70">
        <v>80</v>
      </c>
      <c r="F76" s="70">
        <v>39</v>
      </c>
      <c r="G76" s="70"/>
      <c r="H76" s="70">
        <v>32</v>
      </c>
      <c r="I76" s="70"/>
      <c r="J76" s="70"/>
      <c r="K76" s="70">
        <v>9</v>
      </c>
      <c r="L76" s="70"/>
      <c r="M76" s="70">
        <v>77</v>
      </c>
      <c r="N76" s="70"/>
      <c r="O76" s="70">
        <v>13</v>
      </c>
      <c r="P76" s="70">
        <v>5</v>
      </c>
      <c r="Q76" s="70"/>
      <c r="R76" s="70"/>
      <c r="S76" s="70">
        <v>12</v>
      </c>
      <c r="T76" s="70">
        <v>13</v>
      </c>
      <c r="U76" s="70"/>
      <c r="V76" s="70">
        <f>30+19</f>
        <v>49</v>
      </c>
      <c r="W76" s="70"/>
      <c r="X76" s="70"/>
      <c r="Y76" s="70">
        <v>3</v>
      </c>
      <c r="Z76" s="70"/>
      <c r="AA76" s="70">
        <v>7</v>
      </c>
      <c r="AB76" s="70">
        <f>SUM(E76:AA76)</f>
        <v>339</v>
      </c>
      <c r="AC76" s="70">
        <f>AD76-AB76</f>
        <v>960</v>
      </c>
      <c r="AD76" s="70">
        <f>339+960</f>
        <v>1299</v>
      </c>
      <c r="AE76" s="69">
        <f>(AB76/AD76)</f>
        <v>0.26096997690531176</v>
      </c>
      <c r="AF76" s="68" t="s">
        <v>71</v>
      </c>
    </row>
    <row r="77" spans="1:32" s="67" customFormat="1" ht="30" customHeight="1" x14ac:dyDescent="0.25">
      <c r="A77" s="71">
        <v>46146</v>
      </c>
      <c r="B77" s="70" t="s">
        <v>1</v>
      </c>
      <c r="C77" s="70" t="s">
        <v>2</v>
      </c>
      <c r="D77" s="70">
        <v>19</v>
      </c>
      <c r="E77" s="70">
        <v>35</v>
      </c>
      <c r="F77" s="70">
        <v>30</v>
      </c>
      <c r="G77" s="70">
        <v>33</v>
      </c>
      <c r="H77" s="70">
        <v>19</v>
      </c>
      <c r="I77" s="70"/>
      <c r="J77" s="70"/>
      <c r="K77" s="70"/>
      <c r="L77" s="70"/>
      <c r="M77" s="70">
        <v>11</v>
      </c>
      <c r="N77" s="70"/>
      <c r="O77" s="70">
        <v>2</v>
      </c>
      <c r="P77" s="70">
        <v>22</v>
      </c>
      <c r="Q77" s="70"/>
      <c r="R77" s="70"/>
      <c r="S77" s="70"/>
      <c r="T77" s="70"/>
      <c r="U77" s="70"/>
      <c r="V77" s="70">
        <v>36</v>
      </c>
      <c r="W77" s="70"/>
      <c r="X77" s="70"/>
      <c r="Y77" s="70"/>
      <c r="Z77" s="70"/>
      <c r="AA77" s="70"/>
      <c r="AB77" s="70">
        <f>SUM(E77:AA77)</f>
        <v>188</v>
      </c>
      <c r="AC77" s="70">
        <f>AD77-AB77</f>
        <v>630</v>
      </c>
      <c r="AD77" s="70">
        <f>188+630</f>
        <v>818</v>
      </c>
      <c r="AE77" s="69">
        <f>(AB77/AD77)</f>
        <v>0.22982885085574573</v>
      </c>
      <c r="AF77" s="68" t="s">
        <v>71</v>
      </c>
    </row>
    <row r="78" spans="1:32" s="67" customFormat="1" ht="30" customHeight="1" x14ac:dyDescent="0.25">
      <c r="A78" s="71">
        <v>46146</v>
      </c>
      <c r="B78" s="70" t="s">
        <v>1</v>
      </c>
      <c r="C78" s="70" t="s">
        <v>9</v>
      </c>
      <c r="D78" s="70">
        <v>20</v>
      </c>
      <c r="E78" s="70">
        <v>35</v>
      </c>
      <c r="F78" s="70">
        <v>5</v>
      </c>
      <c r="G78" s="70">
        <v>5</v>
      </c>
      <c r="H78" s="70">
        <v>2</v>
      </c>
      <c r="I78" s="70"/>
      <c r="J78" s="70"/>
      <c r="K78" s="70">
        <v>45</v>
      </c>
      <c r="L78" s="70"/>
      <c r="M78" s="70">
        <v>25</v>
      </c>
      <c r="N78" s="70"/>
      <c r="O78" s="70"/>
      <c r="P78" s="70">
        <v>28</v>
      </c>
      <c r="Q78" s="70"/>
      <c r="R78" s="70"/>
      <c r="S78" s="70"/>
      <c r="T78" s="70">
        <v>40</v>
      </c>
      <c r="U78" s="70">
        <v>20</v>
      </c>
      <c r="V78" s="70">
        <v>25</v>
      </c>
      <c r="W78" s="70"/>
      <c r="X78" s="70"/>
      <c r="Y78" s="70"/>
      <c r="Z78" s="70"/>
      <c r="AA78" s="70"/>
      <c r="AB78" s="70">
        <f>SUM(E78:AA78)</f>
        <v>230</v>
      </c>
      <c r="AC78" s="70">
        <f>AD78-AB78</f>
        <v>648</v>
      </c>
      <c r="AD78" s="70">
        <f>230+648</f>
        <v>878</v>
      </c>
      <c r="AE78" s="69">
        <f>(AB78/AD78)</f>
        <v>0.26195899772209569</v>
      </c>
      <c r="AF78" s="68" t="s">
        <v>71</v>
      </c>
    </row>
    <row r="79" spans="1:32" s="67" customFormat="1" ht="30" customHeight="1" x14ac:dyDescent="0.25">
      <c r="A79" s="71">
        <v>46146</v>
      </c>
      <c r="B79" s="70" t="s">
        <v>1</v>
      </c>
      <c r="C79" s="70" t="s">
        <v>23</v>
      </c>
      <c r="D79" s="70">
        <v>21</v>
      </c>
      <c r="E79" s="70">
        <f>81+25+48+7</f>
        <v>161</v>
      </c>
      <c r="F79" s="70">
        <v>13</v>
      </c>
      <c r="G79" s="70">
        <v>27</v>
      </c>
      <c r="H79" s="70">
        <f>4+5</f>
        <v>9</v>
      </c>
      <c r="I79" s="70">
        <f>3</f>
        <v>3</v>
      </c>
      <c r="J79" s="70">
        <f>4</f>
        <v>4</v>
      </c>
      <c r="K79" s="70">
        <f>5</f>
        <v>5</v>
      </c>
      <c r="L79" s="70"/>
      <c r="M79" s="70">
        <f>4</f>
        <v>4</v>
      </c>
      <c r="N79" s="70">
        <f>6</f>
        <v>6</v>
      </c>
      <c r="O79" s="70">
        <f>5</f>
        <v>5</v>
      </c>
      <c r="P79" s="70">
        <f>73</f>
        <v>73</v>
      </c>
      <c r="Q79" s="70">
        <f>26+29+7+11</f>
        <v>73</v>
      </c>
      <c r="R79" s="70"/>
      <c r="S79" s="70"/>
      <c r="T79" s="70"/>
      <c r="U79" s="70"/>
      <c r="V79" s="70">
        <f>15+8+5+4</f>
        <v>32</v>
      </c>
      <c r="W79" s="70"/>
      <c r="X79" s="70"/>
      <c r="Y79" s="70"/>
      <c r="Z79" s="70"/>
      <c r="AA79" s="70"/>
      <c r="AB79" s="70">
        <f>SUM(E79:AA79)</f>
        <v>415</v>
      </c>
      <c r="AC79" s="70">
        <f>AD79-AB79</f>
        <v>690</v>
      </c>
      <c r="AD79" s="70">
        <f>415+690</f>
        <v>1105</v>
      </c>
      <c r="AE79" s="69">
        <f>(AB79/AD79)</f>
        <v>0.3755656108597285</v>
      </c>
      <c r="AF79" s="68" t="s">
        <v>71</v>
      </c>
    </row>
    <row r="80" spans="1:32" s="67" customFormat="1" ht="30" customHeight="1" x14ac:dyDescent="0.25">
      <c r="A80" s="71">
        <v>46146</v>
      </c>
      <c r="B80" s="70" t="s">
        <v>1</v>
      </c>
      <c r="C80" s="70" t="s">
        <v>8</v>
      </c>
      <c r="D80" s="70">
        <v>22</v>
      </c>
      <c r="E80" s="70">
        <v>84</v>
      </c>
      <c r="F80" s="70">
        <v>4</v>
      </c>
      <c r="G80" s="70">
        <v>3</v>
      </c>
      <c r="H80" s="70">
        <v>36</v>
      </c>
      <c r="I80" s="70"/>
      <c r="J80" s="70">
        <v>16</v>
      </c>
      <c r="K80" s="70"/>
      <c r="L80" s="70">
        <v>69</v>
      </c>
      <c r="M80" s="70">
        <v>105</v>
      </c>
      <c r="N80" s="70"/>
      <c r="O80" s="70">
        <v>24</v>
      </c>
      <c r="P80" s="70">
        <v>3</v>
      </c>
      <c r="Q80" s="70"/>
      <c r="R80" s="70"/>
      <c r="S80" s="70"/>
      <c r="T80" s="70">
        <v>24</v>
      </c>
      <c r="U80" s="70"/>
      <c r="V80" s="70">
        <f>5+5</f>
        <v>10</v>
      </c>
      <c r="W80" s="70"/>
      <c r="X80" s="70"/>
      <c r="Y80" s="70"/>
      <c r="Z80" s="70"/>
      <c r="AA80" s="70"/>
      <c r="AB80" s="70">
        <f>SUM(E80:AA80)</f>
        <v>378</v>
      </c>
      <c r="AC80" s="70">
        <f>AD80-AB80</f>
        <v>664</v>
      </c>
      <c r="AD80" s="70">
        <f>378+664</f>
        <v>1042</v>
      </c>
      <c r="AE80" s="69">
        <f>(AB80/AD80)</f>
        <v>0.36276391554702497</v>
      </c>
      <c r="AF80" s="68" t="s">
        <v>71</v>
      </c>
    </row>
    <row r="81" spans="1:32" s="67" customFormat="1" ht="30" customHeight="1" x14ac:dyDescent="0.25">
      <c r="A81" s="71">
        <v>46146</v>
      </c>
      <c r="B81" s="70" t="s">
        <v>1</v>
      </c>
      <c r="C81" s="70" t="s">
        <v>10</v>
      </c>
      <c r="D81" s="70">
        <v>23</v>
      </c>
      <c r="E81" s="70">
        <v>237</v>
      </c>
      <c r="F81" s="70">
        <v>11</v>
      </c>
      <c r="G81" s="70"/>
      <c r="H81" s="70"/>
      <c r="I81" s="70"/>
      <c r="J81" s="70"/>
      <c r="K81" s="70"/>
      <c r="L81" s="70"/>
      <c r="M81" s="70">
        <v>59</v>
      </c>
      <c r="N81" s="70"/>
      <c r="O81" s="70"/>
      <c r="P81" s="70">
        <v>20</v>
      </c>
      <c r="Q81" s="70"/>
      <c r="R81" s="70"/>
      <c r="S81" s="70"/>
      <c r="T81" s="70">
        <v>29</v>
      </c>
      <c r="U81" s="70">
        <v>63</v>
      </c>
      <c r="V81" s="70">
        <f>12+45+35+22</f>
        <v>114</v>
      </c>
      <c r="W81" s="70"/>
      <c r="X81" s="70"/>
      <c r="Y81" s="70"/>
      <c r="Z81" s="70"/>
      <c r="AA81" s="70">
        <f>2</f>
        <v>2</v>
      </c>
      <c r="AB81" s="70">
        <f>SUM(E81:AA81)</f>
        <v>535</v>
      </c>
      <c r="AC81" s="70">
        <f>AD81-AB81</f>
        <v>864</v>
      </c>
      <c r="AD81" s="70">
        <f>535+864</f>
        <v>1399</v>
      </c>
      <c r="AE81" s="69">
        <f>(AB81/AD81)</f>
        <v>0.38241601143674053</v>
      </c>
      <c r="AF81" s="68" t="s">
        <v>71</v>
      </c>
    </row>
    <row r="82" spans="1:32" s="67" customFormat="1" ht="30" customHeight="1" x14ac:dyDescent="0.25">
      <c r="A82" s="71">
        <v>46146</v>
      </c>
      <c r="B82" s="70" t="s">
        <v>1</v>
      </c>
      <c r="C82" s="70" t="s">
        <v>6</v>
      </c>
      <c r="D82" s="70">
        <v>24</v>
      </c>
      <c r="E82" s="70">
        <f>25+26+8</f>
        <v>59</v>
      </c>
      <c r="F82" s="70"/>
      <c r="G82" s="70"/>
      <c r="H82" s="70"/>
      <c r="I82" s="70"/>
      <c r="J82" s="70"/>
      <c r="K82" s="70">
        <v>5</v>
      </c>
      <c r="L82" s="70">
        <f>8</f>
        <v>8</v>
      </c>
      <c r="M82" s="70">
        <f>24+15+19</f>
        <v>58</v>
      </c>
      <c r="N82" s="70"/>
      <c r="O82" s="70"/>
      <c r="P82" s="70">
        <f>5+5</f>
        <v>10</v>
      </c>
      <c r="Q82" s="70"/>
      <c r="R82" s="70"/>
      <c r="S82" s="70"/>
      <c r="T82" s="70"/>
      <c r="U82" s="70"/>
      <c r="V82" s="70">
        <f>5+8</f>
        <v>13</v>
      </c>
      <c r="W82" s="70"/>
      <c r="X82" s="70"/>
      <c r="Y82" s="70"/>
      <c r="Z82" s="70"/>
      <c r="AA82" s="70"/>
      <c r="AB82" s="70">
        <f>SUM(E82:AA82)</f>
        <v>153</v>
      </c>
      <c r="AC82" s="70">
        <f>AD82-AB82</f>
        <v>984</v>
      </c>
      <c r="AD82" s="70">
        <f>153+984</f>
        <v>1137</v>
      </c>
      <c r="AE82" s="69">
        <f>(AB82/AD82)</f>
        <v>0.13456464379947231</v>
      </c>
      <c r="AF82" s="68" t="s">
        <v>71</v>
      </c>
    </row>
    <row r="83" spans="1:32" s="67" customFormat="1" ht="30" customHeight="1" x14ac:dyDescent="0.25">
      <c r="A83" s="71">
        <v>46146</v>
      </c>
      <c r="B83" s="70" t="s">
        <v>5</v>
      </c>
      <c r="C83" s="70" t="s">
        <v>4</v>
      </c>
      <c r="D83" s="70">
        <v>25</v>
      </c>
      <c r="E83" s="70">
        <v>247</v>
      </c>
      <c r="F83" s="70">
        <v>15</v>
      </c>
      <c r="G83" s="70"/>
      <c r="H83" s="70">
        <v>236</v>
      </c>
      <c r="I83" s="70">
        <v>3</v>
      </c>
      <c r="J83" s="70"/>
      <c r="K83" s="70">
        <f>11+30</f>
        <v>41</v>
      </c>
      <c r="L83" s="70"/>
      <c r="M83" s="70">
        <v>70</v>
      </c>
      <c r="N83" s="70"/>
      <c r="O83" s="70"/>
      <c r="P83" s="70"/>
      <c r="Q83" s="70"/>
      <c r="R83" s="70"/>
      <c r="S83" s="70"/>
      <c r="T83" s="70"/>
      <c r="U83" s="70"/>
      <c r="V83" s="70">
        <f>10+13</f>
        <v>23</v>
      </c>
      <c r="W83" s="70"/>
      <c r="X83" s="70"/>
      <c r="Y83" s="70"/>
      <c r="Z83" s="70"/>
      <c r="AA83" s="70"/>
      <c r="AB83" s="70">
        <f>SUM(E83:AA83)</f>
        <v>635</v>
      </c>
      <c r="AC83" s="70">
        <f>AD83-AB83</f>
        <v>1540</v>
      </c>
      <c r="AD83" s="70">
        <f>635+1540</f>
        <v>2175</v>
      </c>
      <c r="AE83" s="69">
        <f>(AB83/AD83)</f>
        <v>0.29195402298850576</v>
      </c>
      <c r="AF83" s="68" t="s">
        <v>74</v>
      </c>
    </row>
    <row r="84" spans="1:32" s="67" customFormat="1" ht="30" customHeight="1" x14ac:dyDescent="0.25">
      <c r="A84" s="71">
        <v>46146</v>
      </c>
      <c r="B84" s="70" t="s">
        <v>73</v>
      </c>
      <c r="C84" s="70" t="s">
        <v>22</v>
      </c>
      <c r="D84" s="70">
        <v>26</v>
      </c>
      <c r="E84" s="70">
        <v>65</v>
      </c>
      <c r="F84" s="70">
        <v>115</v>
      </c>
      <c r="G84" s="70">
        <v>5</v>
      </c>
      <c r="H84" s="70">
        <v>5</v>
      </c>
      <c r="I84" s="70"/>
      <c r="J84" s="70"/>
      <c r="K84" s="70"/>
      <c r="L84" s="70"/>
      <c r="M84" s="70">
        <v>120</v>
      </c>
      <c r="N84" s="70"/>
      <c r="O84" s="70">
        <v>5</v>
      </c>
      <c r="P84" s="70"/>
      <c r="Q84" s="70"/>
      <c r="R84" s="70"/>
      <c r="S84" s="70"/>
      <c r="T84" s="70">
        <v>30</v>
      </c>
      <c r="U84" s="70"/>
      <c r="V84" s="70">
        <f>25+20</f>
        <v>45</v>
      </c>
      <c r="W84" s="70"/>
      <c r="X84" s="70"/>
      <c r="Y84" s="70"/>
      <c r="Z84" s="70"/>
      <c r="AA84" s="70"/>
      <c r="AB84" s="70">
        <f>SUM(E84:AA84)</f>
        <v>390</v>
      </c>
      <c r="AC84" s="70">
        <f>AD84-AB84</f>
        <v>456</v>
      </c>
      <c r="AD84" s="70">
        <f>390+456</f>
        <v>846</v>
      </c>
      <c r="AE84" s="69">
        <f>(AB84/AD84)</f>
        <v>0.46099290780141844</v>
      </c>
      <c r="AF84" s="68" t="s">
        <v>71</v>
      </c>
    </row>
    <row r="85" spans="1:32" s="67" customFormat="1" ht="30" customHeight="1" x14ac:dyDescent="0.25">
      <c r="A85" s="71">
        <v>46146</v>
      </c>
      <c r="B85" s="70" t="s">
        <v>78</v>
      </c>
      <c r="C85" s="70" t="s">
        <v>85</v>
      </c>
      <c r="D85" s="70">
        <v>27</v>
      </c>
      <c r="E85" s="70">
        <v>230</v>
      </c>
      <c r="F85" s="70"/>
      <c r="G85" s="70">
        <v>20</v>
      </c>
      <c r="H85" s="70">
        <v>25</v>
      </c>
      <c r="I85" s="70"/>
      <c r="J85" s="70"/>
      <c r="K85" s="70">
        <v>5</v>
      </c>
      <c r="L85" s="70"/>
      <c r="M85" s="70">
        <v>43</v>
      </c>
      <c r="N85" s="70"/>
      <c r="O85" s="70">
        <v>5</v>
      </c>
      <c r="P85" s="70">
        <v>47</v>
      </c>
      <c r="Q85" s="70">
        <v>5</v>
      </c>
      <c r="R85" s="70"/>
      <c r="S85" s="70">
        <v>15</v>
      </c>
      <c r="T85" s="70">
        <v>60</v>
      </c>
      <c r="U85" s="70"/>
      <c r="V85" s="70">
        <f>5+35</f>
        <v>40</v>
      </c>
      <c r="W85" s="70"/>
      <c r="X85" s="70"/>
      <c r="Y85" s="70"/>
      <c r="Z85" s="70"/>
      <c r="AA85" s="70"/>
      <c r="AB85" s="70">
        <f>SUM(E85:AA85)</f>
        <v>495</v>
      </c>
      <c r="AC85" s="70">
        <f>AD85-AB85</f>
        <v>823</v>
      </c>
      <c r="AD85" s="70">
        <f>495+823</f>
        <v>1318</v>
      </c>
      <c r="AE85" s="69">
        <f>(AB85/AD85)</f>
        <v>0.37556904400606983</v>
      </c>
      <c r="AF85" s="68" t="s">
        <v>71</v>
      </c>
    </row>
    <row r="86" spans="1:32" s="67" customFormat="1" ht="30" customHeight="1" x14ac:dyDescent="0.25">
      <c r="A86" s="71">
        <v>46146</v>
      </c>
      <c r="B86" s="70" t="s">
        <v>1</v>
      </c>
      <c r="C86" s="70" t="s">
        <v>0</v>
      </c>
      <c r="D86" s="70">
        <v>28</v>
      </c>
      <c r="E86" s="70"/>
      <c r="F86" s="70">
        <v>31</v>
      </c>
      <c r="G86" s="70">
        <v>37</v>
      </c>
      <c r="H86" s="70">
        <v>7</v>
      </c>
      <c r="I86" s="70"/>
      <c r="J86" s="70"/>
      <c r="K86" s="70"/>
      <c r="L86" s="70"/>
      <c r="M86" s="70">
        <v>18</v>
      </c>
      <c r="N86" s="70"/>
      <c r="O86" s="70"/>
      <c r="P86" s="70">
        <v>14</v>
      </c>
      <c r="Q86" s="70"/>
      <c r="R86" s="70"/>
      <c r="S86" s="70"/>
      <c r="T86" s="70"/>
      <c r="U86" s="70"/>
      <c r="V86" s="70">
        <f>17+5+6</f>
        <v>28</v>
      </c>
      <c r="W86" s="70"/>
      <c r="X86" s="70"/>
      <c r="Y86" s="70"/>
      <c r="Z86" s="70"/>
      <c r="AA86" s="70"/>
      <c r="AB86" s="70">
        <f>SUM(E86:AA86)</f>
        <v>135</v>
      </c>
      <c r="AC86" s="70">
        <f>AD86-AB86</f>
        <v>464</v>
      </c>
      <c r="AD86" s="70">
        <f>135+464</f>
        <v>599</v>
      </c>
      <c r="AE86" s="69">
        <f>(AB86/AD86)</f>
        <v>0.22537562604340566</v>
      </c>
      <c r="AF86" s="68" t="s">
        <v>71</v>
      </c>
    </row>
    <row r="87" spans="1:32" s="72" customFormat="1" ht="30" customHeight="1" x14ac:dyDescent="0.25">
      <c r="A87" s="76">
        <v>46147</v>
      </c>
      <c r="B87" s="75" t="s">
        <v>1</v>
      </c>
      <c r="C87" s="75" t="s">
        <v>26</v>
      </c>
      <c r="D87" s="75">
        <v>1</v>
      </c>
      <c r="E87" s="75">
        <v>41</v>
      </c>
      <c r="F87" s="75">
        <v>58</v>
      </c>
      <c r="G87" s="75"/>
      <c r="H87" s="75"/>
      <c r="I87" s="75"/>
      <c r="J87" s="75">
        <v>5</v>
      </c>
      <c r="K87" s="75">
        <v>36</v>
      </c>
      <c r="L87" s="75"/>
      <c r="M87" s="75">
        <v>46</v>
      </c>
      <c r="N87" s="75"/>
      <c r="O87" s="75"/>
      <c r="P87" s="75">
        <v>13</v>
      </c>
      <c r="Q87" s="75"/>
      <c r="R87" s="75"/>
      <c r="S87" s="75"/>
      <c r="T87" s="75">
        <v>78</v>
      </c>
      <c r="U87" s="75"/>
      <c r="V87" s="75">
        <f>10+13</f>
        <v>23</v>
      </c>
      <c r="W87" s="75"/>
      <c r="X87" s="75"/>
      <c r="Y87" s="75"/>
      <c r="Z87" s="75"/>
      <c r="AA87" s="75"/>
      <c r="AB87" s="75">
        <f>SUM(E87:AA87)</f>
        <v>300</v>
      </c>
      <c r="AC87" s="75">
        <f>AD87-AB87</f>
        <v>560</v>
      </c>
      <c r="AD87" s="75">
        <f>300+560</f>
        <v>860</v>
      </c>
      <c r="AE87" s="74">
        <f>(AB87/AD87)</f>
        <v>0.34883720930232559</v>
      </c>
      <c r="AF87" s="73" t="s">
        <v>71</v>
      </c>
    </row>
    <row r="88" spans="1:32" s="67" customFormat="1" ht="30" customHeight="1" x14ac:dyDescent="0.25">
      <c r="A88" s="71">
        <v>46147</v>
      </c>
      <c r="B88" s="70" t="s">
        <v>78</v>
      </c>
      <c r="C88" s="70" t="s">
        <v>21</v>
      </c>
      <c r="D88" s="70">
        <v>2</v>
      </c>
      <c r="E88" s="70">
        <v>183</v>
      </c>
      <c r="F88" s="70">
        <v>36</v>
      </c>
      <c r="G88" s="70">
        <v>7</v>
      </c>
      <c r="H88" s="70">
        <v>23</v>
      </c>
      <c r="I88" s="70"/>
      <c r="J88" s="70"/>
      <c r="K88" s="70"/>
      <c r="L88" s="70"/>
      <c r="M88" s="70">
        <v>49</v>
      </c>
      <c r="N88" s="70"/>
      <c r="O88" s="70"/>
      <c r="P88" s="70">
        <v>64</v>
      </c>
      <c r="Q88" s="70">
        <v>97</v>
      </c>
      <c r="R88" s="70">
        <v>23</v>
      </c>
      <c r="S88" s="70"/>
      <c r="T88" s="70">
        <v>109</v>
      </c>
      <c r="U88" s="70"/>
      <c r="V88" s="70">
        <f>86+15</f>
        <v>101</v>
      </c>
      <c r="W88" s="70"/>
      <c r="X88" s="70"/>
      <c r="Y88" s="70"/>
      <c r="Z88" s="70"/>
      <c r="AA88" s="70"/>
      <c r="AB88" s="70">
        <f>SUM(E88:AA88)</f>
        <v>692</v>
      </c>
      <c r="AC88" s="70">
        <f>AD88-AB88</f>
        <v>1155</v>
      </c>
      <c r="AD88" s="70">
        <f>692+1155</f>
        <v>1847</v>
      </c>
      <c r="AE88" s="69">
        <f>(AB88/AD88)</f>
        <v>0.37466161342717919</v>
      </c>
      <c r="AF88" s="68" t="s">
        <v>71</v>
      </c>
    </row>
    <row r="89" spans="1:32" s="67" customFormat="1" ht="30" customHeight="1" x14ac:dyDescent="0.25">
      <c r="A89" s="71">
        <v>46147</v>
      </c>
      <c r="B89" s="70" t="s">
        <v>1</v>
      </c>
      <c r="C89" s="70" t="s">
        <v>9</v>
      </c>
      <c r="D89" s="70">
        <v>3</v>
      </c>
      <c r="E89" s="70">
        <v>17</v>
      </c>
      <c r="F89" s="70">
        <v>21</v>
      </c>
      <c r="G89" s="70">
        <v>4</v>
      </c>
      <c r="H89" s="70">
        <v>5</v>
      </c>
      <c r="I89" s="70">
        <v>10</v>
      </c>
      <c r="J89" s="70">
        <v>3</v>
      </c>
      <c r="K89" s="70">
        <v>15</v>
      </c>
      <c r="L89" s="70"/>
      <c r="M89" s="70">
        <v>53</v>
      </c>
      <c r="N89" s="70"/>
      <c r="O89" s="70">
        <v>8</v>
      </c>
      <c r="P89" s="70">
        <v>33</v>
      </c>
      <c r="Q89" s="70"/>
      <c r="R89" s="70"/>
      <c r="S89" s="70">
        <v>7</v>
      </c>
      <c r="T89" s="70">
        <v>15</v>
      </c>
      <c r="U89" s="70"/>
      <c r="V89" s="70">
        <f>16+33+13</f>
        <v>62</v>
      </c>
      <c r="W89" s="70"/>
      <c r="X89" s="70"/>
      <c r="Y89" s="70"/>
      <c r="Z89" s="70"/>
      <c r="AA89" s="70"/>
      <c r="AB89" s="70">
        <f>SUM(E89:AA89)</f>
        <v>253</v>
      </c>
      <c r="AC89" s="70">
        <f>AD89-AB89</f>
        <v>640</v>
      </c>
      <c r="AD89" s="70">
        <f>253+640</f>
        <v>893</v>
      </c>
      <c r="AE89" s="69">
        <f>(AB89/AD89)</f>
        <v>0.28331466965285557</v>
      </c>
      <c r="AF89" s="68" t="s">
        <v>71</v>
      </c>
    </row>
    <row r="90" spans="1:32" s="67" customFormat="1" ht="30" customHeight="1" x14ac:dyDescent="0.25">
      <c r="A90" s="71">
        <v>46147</v>
      </c>
      <c r="B90" s="70" t="s">
        <v>1</v>
      </c>
      <c r="C90" s="70" t="s">
        <v>16</v>
      </c>
      <c r="D90" s="70">
        <v>4</v>
      </c>
      <c r="E90" s="70">
        <v>158</v>
      </c>
      <c r="F90" s="70">
        <v>20</v>
      </c>
      <c r="G90" s="70"/>
      <c r="H90" s="70"/>
      <c r="I90" s="70"/>
      <c r="J90" s="70"/>
      <c r="K90" s="70"/>
      <c r="L90" s="70"/>
      <c r="M90" s="70">
        <v>130</v>
      </c>
      <c r="N90" s="70">
        <v>15</v>
      </c>
      <c r="O90" s="70"/>
      <c r="P90" s="70">
        <v>55</v>
      </c>
      <c r="Q90" s="70"/>
      <c r="R90" s="70">
        <v>93</v>
      </c>
      <c r="S90" s="70"/>
      <c r="T90" s="70">
        <v>30</v>
      </c>
      <c r="U90" s="70"/>
      <c r="V90" s="70">
        <f>84+5+15</f>
        <v>104</v>
      </c>
      <c r="W90" s="70"/>
      <c r="X90" s="70"/>
      <c r="Y90" s="70"/>
      <c r="Z90" s="70"/>
      <c r="AA90" s="70">
        <v>30</v>
      </c>
      <c r="AB90" s="70">
        <f>SUM(E90:AA90)</f>
        <v>635</v>
      </c>
      <c r="AC90" s="70">
        <f>AD90-AB90</f>
        <v>1260</v>
      </c>
      <c r="AD90" s="70">
        <f>635+1260</f>
        <v>1895</v>
      </c>
      <c r="AE90" s="69">
        <f>(AB90/AD90)</f>
        <v>0.33509234828496043</v>
      </c>
      <c r="AF90" s="68" t="s">
        <v>71</v>
      </c>
    </row>
    <row r="91" spans="1:32" s="67" customFormat="1" ht="30" customHeight="1" x14ac:dyDescent="0.25">
      <c r="A91" s="71">
        <v>46147</v>
      </c>
      <c r="B91" s="70" t="s">
        <v>1</v>
      </c>
      <c r="C91" s="70" t="s">
        <v>16</v>
      </c>
      <c r="D91" s="70">
        <v>5</v>
      </c>
      <c r="E91" s="70">
        <v>206</v>
      </c>
      <c r="F91" s="70">
        <v>203</v>
      </c>
      <c r="G91" s="70">
        <v>32</v>
      </c>
      <c r="H91" s="70">
        <v>15</v>
      </c>
      <c r="I91" s="70">
        <v>10</v>
      </c>
      <c r="J91" s="70"/>
      <c r="K91" s="70"/>
      <c r="L91" s="70"/>
      <c r="M91" s="70">
        <v>320</v>
      </c>
      <c r="N91" s="70"/>
      <c r="O91" s="70"/>
      <c r="P91" s="70">
        <v>238</v>
      </c>
      <c r="Q91" s="70"/>
      <c r="R91" s="70">
        <v>70</v>
      </c>
      <c r="S91" s="70"/>
      <c r="T91" s="70"/>
      <c r="U91" s="70"/>
      <c r="V91" s="70">
        <v>221</v>
      </c>
      <c r="W91" s="70"/>
      <c r="X91" s="70"/>
      <c r="Y91" s="70"/>
      <c r="Z91" s="70"/>
      <c r="AA91" s="70"/>
      <c r="AB91" s="70">
        <f>SUM(E91:AA91)</f>
        <v>1315</v>
      </c>
      <c r="AC91" s="70">
        <f>AD91-AB91</f>
        <v>1600</v>
      </c>
      <c r="AD91" s="70">
        <f>1315+1600</f>
        <v>2915</v>
      </c>
      <c r="AE91" s="69">
        <f>(AB91/AD91)</f>
        <v>0.451114922813036</v>
      </c>
      <c r="AF91" s="68" t="s">
        <v>71</v>
      </c>
    </row>
    <row r="92" spans="1:32" s="67" customFormat="1" ht="30" customHeight="1" x14ac:dyDescent="0.25">
      <c r="A92" s="71">
        <v>46147</v>
      </c>
      <c r="B92" s="70" t="s">
        <v>1</v>
      </c>
      <c r="C92" s="70" t="s">
        <v>15</v>
      </c>
      <c r="D92" s="70">
        <v>6</v>
      </c>
      <c r="E92" s="70">
        <v>238</v>
      </c>
      <c r="F92" s="70">
        <v>53</v>
      </c>
      <c r="G92" s="70">
        <v>5</v>
      </c>
      <c r="H92" s="70">
        <v>109</v>
      </c>
      <c r="I92" s="70"/>
      <c r="J92" s="70">
        <v>20</v>
      </c>
      <c r="K92" s="70">
        <v>17</v>
      </c>
      <c r="L92" s="70"/>
      <c r="M92" s="70">
        <v>52</v>
      </c>
      <c r="N92" s="70">
        <v>15</v>
      </c>
      <c r="O92" s="70"/>
      <c r="P92" s="70">
        <v>93</v>
      </c>
      <c r="Q92" s="70"/>
      <c r="R92" s="70">
        <v>25</v>
      </c>
      <c r="S92" s="70"/>
      <c r="T92" s="70">
        <v>28</v>
      </c>
      <c r="U92" s="70"/>
      <c r="V92" s="70">
        <f>85+20</f>
        <v>105</v>
      </c>
      <c r="W92" s="70"/>
      <c r="X92" s="70"/>
      <c r="Y92" s="70">
        <v>10</v>
      </c>
      <c r="Z92" s="70"/>
      <c r="AA92" s="70"/>
      <c r="AB92" s="70">
        <f>SUM(E92:AA92)</f>
        <v>770</v>
      </c>
      <c r="AC92" s="70">
        <f>AD92-AB92</f>
        <v>1120</v>
      </c>
      <c r="AD92" s="70">
        <f>770+1120</f>
        <v>1890</v>
      </c>
      <c r="AE92" s="69">
        <f>(AB92/AD92)</f>
        <v>0.40740740740740738</v>
      </c>
      <c r="AF92" s="68" t="s">
        <v>71</v>
      </c>
    </row>
    <row r="93" spans="1:32" s="67" customFormat="1" ht="30" customHeight="1" x14ac:dyDescent="0.25">
      <c r="A93" s="71">
        <v>46147</v>
      </c>
      <c r="B93" s="70" t="s">
        <v>1</v>
      </c>
      <c r="C93" s="70" t="s">
        <v>14</v>
      </c>
      <c r="D93" s="70">
        <v>7</v>
      </c>
      <c r="E93" s="70">
        <v>101</v>
      </c>
      <c r="F93" s="70">
        <v>10</v>
      </c>
      <c r="G93" s="70">
        <v>15</v>
      </c>
      <c r="H93" s="70">
        <v>15</v>
      </c>
      <c r="I93" s="70"/>
      <c r="J93" s="70"/>
      <c r="K93" s="70"/>
      <c r="L93" s="70"/>
      <c r="M93" s="70">
        <v>20</v>
      </c>
      <c r="N93" s="70">
        <v>15</v>
      </c>
      <c r="O93" s="70"/>
      <c r="P93" s="70">
        <v>45</v>
      </c>
      <c r="Q93" s="70">
        <v>10</v>
      </c>
      <c r="R93" s="70">
        <v>5</v>
      </c>
      <c r="S93" s="70"/>
      <c r="T93" s="70">
        <v>10</v>
      </c>
      <c r="U93" s="70"/>
      <c r="V93" s="70">
        <v>13</v>
      </c>
      <c r="W93" s="70"/>
      <c r="X93" s="70"/>
      <c r="Y93" s="70"/>
      <c r="Z93" s="70"/>
      <c r="AA93" s="70"/>
      <c r="AB93" s="70">
        <f>SUM(E93:AA93)</f>
        <v>259</v>
      </c>
      <c r="AC93" s="70">
        <f>AD93-AB93</f>
        <v>430</v>
      </c>
      <c r="AD93" s="70">
        <f>259+430</f>
        <v>689</v>
      </c>
      <c r="AE93" s="69">
        <f>(AB93/AD93)</f>
        <v>0.37590711175616837</v>
      </c>
      <c r="AF93" s="68" t="s">
        <v>71</v>
      </c>
    </row>
    <row r="94" spans="1:32" s="67" customFormat="1" ht="30" customHeight="1" x14ac:dyDescent="0.25">
      <c r="A94" s="71">
        <v>46147</v>
      </c>
      <c r="B94" s="70" t="s">
        <v>73</v>
      </c>
      <c r="C94" s="70" t="s">
        <v>83</v>
      </c>
      <c r="D94" s="70">
        <v>8</v>
      </c>
      <c r="E94" s="70">
        <v>135</v>
      </c>
      <c r="F94" s="70">
        <v>65</v>
      </c>
      <c r="G94" s="70">
        <v>18</v>
      </c>
      <c r="H94" s="70">
        <v>75</v>
      </c>
      <c r="I94" s="70">
        <v>5</v>
      </c>
      <c r="J94" s="70"/>
      <c r="K94" s="70"/>
      <c r="L94" s="70"/>
      <c r="M94" s="70">
        <v>22</v>
      </c>
      <c r="N94" s="70"/>
      <c r="O94" s="70">
        <v>12</v>
      </c>
      <c r="P94" s="70">
        <v>49</v>
      </c>
      <c r="Q94" s="70">
        <v>10</v>
      </c>
      <c r="R94" s="70"/>
      <c r="S94" s="70"/>
      <c r="T94" s="70">
        <v>110</v>
      </c>
      <c r="U94" s="70"/>
      <c r="V94" s="70">
        <v>122</v>
      </c>
      <c r="W94" s="70"/>
      <c r="X94" s="70"/>
      <c r="Y94" s="70"/>
      <c r="Z94" s="70"/>
      <c r="AA94" s="70"/>
      <c r="AB94" s="70">
        <f>SUM(E94:AA94)</f>
        <v>623</v>
      </c>
      <c r="AC94" s="70">
        <f>AD94-AB94</f>
        <v>910</v>
      </c>
      <c r="AD94" s="70">
        <f>623+910</f>
        <v>1533</v>
      </c>
      <c r="AE94" s="69">
        <f>(AB94/AD94)</f>
        <v>0.40639269406392692</v>
      </c>
      <c r="AF94" s="68" t="s">
        <v>71</v>
      </c>
    </row>
    <row r="95" spans="1:32" s="67" customFormat="1" ht="30" customHeight="1" x14ac:dyDescent="0.25">
      <c r="A95" s="71">
        <v>46147</v>
      </c>
      <c r="B95" s="70" t="s">
        <v>1</v>
      </c>
      <c r="C95" s="70" t="s">
        <v>12</v>
      </c>
      <c r="D95" s="70">
        <v>9</v>
      </c>
      <c r="E95" s="70">
        <v>170</v>
      </c>
      <c r="F95" s="70">
        <v>57</v>
      </c>
      <c r="G95" s="70">
        <v>49</v>
      </c>
      <c r="H95" s="70">
        <v>55</v>
      </c>
      <c r="I95" s="70">
        <v>56</v>
      </c>
      <c r="J95" s="70"/>
      <c r="K95" s="70"/>
      <c r="L95" s="70"/>
      <c r="M95" s="70">
        <v>136</v>
      </c>
      <c r="N95" s="70">
        <v>15</v>
      </c>
      <c r="O95" s="70">
        <v>5</v>
      </c>
      <c r="P95" s="70">
        <v>42</v>
      </c>
      <c r="Q95" s="70"/>
      <c r="R95" s="70"/>
      <c r="S95" s="70"/>
      <c r="T95" s="70">
        <v>10</v>
      </c>
      <c r="U95" s="70"/>
      <c r="V95" s="70">
        <f>94+8</f>
        <v>102</v>
      </c>
      <c r="W95" s="70"/>
      <c r="X95" s="70"/>
      <c r="Y95" s="70">
        <v>40</v>
      </c>
      <c r="Z95" s="70"/>
      <c r="AA95" s="70"/>
      <c r="AB95" s="70">
        <f>SUM(E95:AA95)</f>
        <v>737</v>
      </c>
      <c r="AC95" s="70">
        <f>AD95-AB95</f>
        <v>1696</v>
      </c>
      <c r="AD95" s="70">
        <f>737+1696</f>
        <v>2433</v>
      </c>
      <c r="AE95" s="69">
        <f>(AB95/AD95)</f>
        <v>0.30291820797369501</v>
      </c>
      <c r="AF95" s="68" t="s">
        <v>71</v>
      </c>
    </row>
    <row r="96" spans="1:32" s="67" customFormat="1" ht="30" customHeight="1" x14ac:dyDescent="0.25">
      <c r="A96" s="71">
        <v>46147</v>
      </c>
      <c r="B96" s="70" t="s">
        <v>1</v>
      </c>
      <c r="C96" s="70" t="s">
        <v>0</v>
      </c>
      <c r="D96" s="70">
        <v>10</v>
      </c>
      <c r="E96" s="70">
        <f>4+18+23</f>
        <v>45</v>
      </c>
      <c r="F96" s="70">
        <f>4</f>
        <v>4</v>
      </c>
      <c r="G96" s="70">
        <f>36+10+22</f>
        <v>68</v>
      </c>
      <c r="H96" s="70"/>
      <c r="I96" s="70"/>
      <c r="J96" s="70">
        <f>5+13</f>
        <v>18</v>
      </c>
      <c r="K96" s="70"/>
      <c r="L96" s="70">
        <f>5+10</f>
        <v>15</v>
      </c>
      <c r="M96" s="70">
        <f>3+5</f>
        <v>8</v>
      </c>
      <c r="N96" s="70"/>
      <c r="O96" s="70"/>
      <c r="P96" s="70">
        <f>5</f>
        <v>5</v>
      </c>
      <c r="Q96" s="70"/>
      <c r="R96" s="70"/>
      <c r="S96" s="70"/>
      <c r="T96" s="70"/>
      <c r="U96" s="70"/>
      <c r="V96" s="70">
        <f>5+3+6+20+5+2+10</f>
        <v>51</v>
      </c>
      <c r="W96" s="70"/>
      <c r="X96" s="70"/>
      <c r="Y96" s="70"/>
      <c r="Z96" s="70"/>
      <c r="AA96" s="70"/>
      <c r="AB96" s="70">
        <f>SUM(E96:AA96)</f>
        <v>214</v>
      </c>
      <c r="AC96" s="70">
        <f>AD96-AB96</f>
        <v>464</v>
      </c>
      <c r="AD96" s="70">
        <f>214+464</f>
        <v>678</v>
      </c>
      <c r="AE96" s="69">
        <f>(AB96/AD96)</f>
        <v>0.31563421828908556</v>
      </c>
      <c r="AF96" s="68" t="s">
        <v>71</v>
      </c>
    </row>
    <row r="97" spans="1:32" s="67" customFormat="1" ht="30" customHeight="1" x14ac:dyDescent="0.25">
      <c r="A97" s="71">
        <v>46147</v>
      </c>
      <c r="B97" s="70" t="s">
        <v>1</v>
      </c>
      <c r="C97" s="70" t="s">
        <v>10</v>
      </c>
      <c r="D97" s="70">
        <v>11</v>
      </c>
      <c r="E97" s="70">
        <v>114</v>
      </c>
      <c r="F97" s="70">
        <v>53</v>
      </c>
      <c r="G97" s="70">
        <v>22</v>
      </c>
      <c r="H97" s="70">
        <v>20</v>
      </c>
      <c r="I97" s="70"/>
      <c r="J97" s="70"/>
      <c r="K97" s="70"/>
      <c r="L97" s="70"/>
      <c r="M97" s="70">
        <v>31</v>
      </c>
      <c r="N97" s="70">
        <v>6</v>
      </c>
      <c r="O97" s="70"/>
      <c r="P97" s="70">
        <v>33</v>
      </c>
      <c r="Q97" s="70"/>
      <c r="R97" s="70">
        <v>11</v>
      </c>
      <c r="S97" s="70">
        <v>19</v>
      </c>
      <c r="T97" s="70"/>
      <c r="U97" s="70"/>
      <c r="V97" s="70">
        <f>33+12</f>
        <v>45</v>
      </c>
      <c r="W97" s="70"/>
      <c r="X97" s="70"/>
      <c r="Y97" s="70"/>
      <c r="Z97" s="70"/>
      <c r="AA97" s="70"/>
      <c r="AB97" s="70">
        <f>SUM(E97:AA97)</f>
        <v>354</v>
      </c>
      <c r="AC97" s="70">
        <f>AD97-AB97</f>
        <v>864</v>
      </c>
      <c r="AD97" s="70">
        <f>354+864</f>
        <v>1218</v>
      </c>
      <c r="AE97" s="69">
        <f>(AB97/AD97)</f>
        <v>0.29064039408866993</v>
      </c>
      <c r="AF97" s="68" t="s">
        <v>71</v>
      </c>
    </row>
    <row r="98" spans="1:32" s="67" customFormat="1" ht="30" customHeight="1" x14ac:dyDescent="0.25">
      <c r="A98" s="71">
        <v>46147</v>
      </c>
      <c r="B98" s="70" t="s">
        <v>78</v>
      </c>
      <c r="C98" s="70" t="s">
        <v>18</v>
      </c>
      <c r="D98" s="70">
        <v>13</v>
      </c>
      <c r="E98" s="70">
        <v>56</v>
      </c>
      <c r="F98" s="70"/>
      <c r="G98" s="70">
        <v>90</v>
      </c>
      <c r="H98" s="70">
        <v>28</v>
      </c>
      <c r="I98" s="70">
        <v>20</v>
      </c>
      <c r="J98" s="70"/>
      <c r="K98" s="70">
        <v>10</v>
      </c>
      <c r="L98" s="70"/>
      <c r="M98" s="70">
        <v>39</v>
      </c>
      <c r="N98" s="70"/>
      <c r="O98" s="70"/>
      <c r="P98" s="70">
        <v>94</v>
      </c>
      <c r="Q98" s="70">
        <v>15</v>
      </c>
      <c r="R98" s="70"/>
      <c r="S98" s="70"/>
      <c r="T98" s="70"/>
      <c r="U98" s="70"/>
      <c r="V98" s="70">
        <f>181+7</f>
        <v>188</v>
      </c>
      <c r="W98" s="70"/>
      <c r="X98" s="70"/>
      <c r="Y98" s="70"/>
      <c r="Z98" s="70"/>
      <c r="AA98" s="70"/>
      <c r="AB98" s="70">
        <f>SUM(E98:AA98)</f>
        <v>540</v>
      </c>
      <c r="AC98" s="70">
        <f>AD98-AB98</f>
        <v>1260</v>
      </c>
      <c r="AD98" s="70">
        <f>540+1260</f>
        <v>1800</v>
      </c>
      <c r="AE98" s="69">
        <f>(AB98/AD98)</f>
        <v>0.3</v>
      </c>
      <c r="AF98" s="68" t="s">
        <v>71</v>
      </c>
    </row>
    <row r="99" spans="1:32" s="67" customFormat="1" ht="30" customHeight="1" x14ac:dyDescent="0.25">
      <c r="A99" s="71">
        <v>46147</v>
      </c>
      <c r="B99" s="70" t="s">
        <v>1</v>
      </c>
      <c r="C99" s="70" t="s">
        <v>8</v>
      </c>
      <c r="D99" s="70">
        <v>14</v>
      </c>
      <c r="E99" s="70">
        <f>12+14+5</f>
        <v>31</v>
      </c>
      <c r="F99" s="70">
        <f>7+7+3</f>
        <v>17</v>
      </c>
      <c r="G99" s="70">
        <f>5</f>
        <v>5</v>
      </c>
      <c r="H99" s="70"/>
      <c r="I99" s="70"/>
      <c r="J99" s="70"/>
      <c r="K99" s="70">
        <v>15</v>
      </c>
      <c r="L99" s="70">
        <v>6</v>
      </c>
      <c r="M99" s="70">
        <f>25+3+11+11+5</f>
        <v>55</v>
      </c>
      <c r="N99" s="70"/>
      <c r="O99" s="70">
        <v>18</v>
      </c>
      <c r="P99" s="70">
        <f>5+4+5</f>
        <v>14</v>
      </c>
      <c r="Q99" s="70"/>
      <c r="R99" s="70"/>
      <c r="S99" s="70"/>
      <c r="T99" s="70">
        <f>5+4</f>
        <v>9</v>
      </c>
      <c r="U99" s="70"/>
      <c r="V99" s="70">
        <f>9+8+4+5+8</f>
        <v>34</v>
      </c>
      <c r="W99" s="70"/>
      <c r="X99" s="70"/>
      <c r="Y99" s="70"/>
      <c r="Z99" s="70"/>
      <c r="AA99" s="70">
        <f>7+9</f>
        <v>16</v>
      </c>
      <c r="AB99" s="70">
        <f>SUM(E99:AA99)</f>
        <v>220</v>
      </c>
      <c r="AC99" s="70">
        <f>AD99-AB99</f>
        <v>640</v>
      </c>
      <c r="AD99" s="70">
        <f>220+640</f>
        <v>860</v>
      </c>
      <c r="AE99" s="69">
        <f>(AB99/AD99)</f>
        <v>0.2558139534883721</v>
      </c>
      <c r="AF99" s="68" t="s">
        <v>71</v>
      </c>
    </row>
    <row r="100" spans="1:32" s="67" customFormat="1" ht="30" customHeight="1" x14ac:dyDescent="0.25">
      <c r="A100" s="71">
        <v>46147</v>
      </c>
      <c r="B100" s="70" t="s">
        <v>73</v>
      </c>
      <c r="C100" s="70" t="s">
        <v>7</v>
      </c>
      <c r="D100" s="70">
        <v>15</v>
      </c>
      <c r="E100" s="70">
        <v>5</v>
      </c>
      <c r="F100" s="70">
        <v>27</v>
      </c>
      <c r="G100" s="70"/>
      <c r="H100" s="70"/>
      <c r="I100" s="70"/>
      <c r="J100" s="70"/>
      <c r="K100" s="70">
        <v>6</v>
      </c>
      <c r="L100" s="70">
        <v>13</v>
      </c>
      <c r="M100" s="70">
        <v>45</v>
      </c>
      <c r="N100" s="70"/>
      <c r="O100" s="70"/>
      <c r="P100" s="70">
        <v>6</v>
      </c>
      <c r="Q100" s="70"/>
      <c r="R100" s="70"/>
      <c r="S100" s="70"/>
      <c r="T100" s="70">
        <v>7</v>
      </c>
      <c r="U100" s="70"/>
      <c r="V100" s="70">
        <f>3+7</f>
        <v>10</v>
      </c>
      <c r="W100" s="70"/>
      <c r="X100" s="70"/>
      <c r="Y100" s="70"/>
      <c r="Z100" s="70"/>
      <c r="AA100" s="70"/>
      <c r="AB100" s="70">
        <f>SUM(E100:AA100)</f>
        <v>119</v>
      </c>
      <c r="AC100" s="70">
        <f>AD100-AB100</f>
        <v>175</v>
      </c>
      <c r="AD100" s="70">
        <f>119+175</f>
        <v>294</v>
      </c>
      <c r="AE100" s="69">
        <f>(AB100/AD100)</f>
        <v>0.40476190476190477</v>
      </c>
      <c r="AF100" s="68" t="s">
        <v>71</v>
      </c>
    </row>
    <row r="101" spans="1:32" s="67" customFormat="1" ht="30" customHeight="1" x14ac:dyDescent="0.25">
      <c r="A101" s="71">
        <v>46147</v>
      </c>
      <c r="B101" s="70" t="s">
        <v>1</v>
      </c>
      <c r="C101" s="70" t="s">
        <v>10</v>
      </c>
      <c r="D101" s="70">
        <v>16</v>
      </c>
      <c r="E101" s="70">
        <v>119</v>
      </c>
      <c r="F101" s="70">
        <v>19</v>
      </c>
      <c r="G101" s="70">
        <v>40</v>
      </c>
      <c r="H101" s="70">
        <v>15</v>
      </c>
      <c r="I101" s="70"/>
      <c r="J101" s="70"/>
      <c r="K101" s="70">
        <v>6</v>
      </c>
      <c r="L101" s="70"/>
      <c r="M101" s="70">
        <v>64</v>
      </c>
      <c r="N101" s="70">
        <v>2</v>
      </c>
      <c r="O101" s="70">
        <v>12</v>
      </c>
      <c r="P101" s="70">
        <v>50</v>
      </c>
      <c r="Q101" s="70"/>
      <c r="R101" s="70"/>
      <c r="S101" s="70"/>
      <c r="T101" s="70">
        <v>40</v>
      </c>
      <c r="U101" s="70"/>
      <c r="V101" s="70">
        <f>43+7</f>
        <v>50</v>
      </c>
      <c r="W101" s="70"/>
      <c r="X101" s="70"/>
      <c r="Y101" s="70"/>
      <c r="Z101" s="70"/>
      <c r="AA101" s="70">
        <v>27</v>
      </c>
      <c r="AB101" s="70">
        <f>SUM(E101:AA101)</f>
        <v>444</v>
      </c>
      <c r="AC101" s="70">
        <f>AD101-AB101</f>
        <v>880</v>
      </c>
      <c r="AD101" s="70">
        <f>444+880</f>
        <v>1324</v>
      </c>
      <c r="AE101" s="69">
        <f>(AB101/AD101)</f>
        <v>0.33534743202416917</v>
      </c>
      <c r="AF101" s="68" t="s">
        <v>71</v>
      </c>
    </row>
    <row r="102" spans="1:32" s="67" customFormat="1" ht="30" customHeight="1" x14ac:dyDescent="0.25">
      <c r="A102" s="71">
        <v>46147</v>
      </c>
      <c r="B102" s="70" t="s">
        <v>73</v>
      </c>
      <c r="C102" s="70" t="s">
        <v>12</v>
      </c>
      <c r="D102" s="70">
        <v>17</v>
      </c>
      <c r="E102" s="70">
        <f>72+5+63+37</f>
        <v>177</v>
      </c>
      <c r="F102" s="70"/>
      <c r="G102" s="70">
        <v>9</v>
      </c>
      <c r="H102" s="70">
        <v>5</v>
      </c>
      <c r="I102" s="70">
        <v>25</v>
      </c>
      <c r="J102" s="70">
        <v>30</v>
      </c>
      <c r="K102" s="70"/>
      <c r="L102" s="70"/>
      <c r="M102" s="70">
        <v>10</v>
      </c>
      <c r="N102" s="70"/>
      <c r="O102" s="70"/>
      <c r="P102" s="70">
        <v>10</v>
      </c>
      <c r="Q102" s="70"/>
      <c r="R102" s="70"/>
      <c r="S102" s="70"/>
      <c r="T102" s="70"/>
      <c r="U102" s="70"/>
      <c r="V102" s="70">
        <v>60</v>
      </c>
      <c r="W102" s="70"/>
      <c r="X102" s="70"/>
      <c r="Y102" s="70">
        <v>5</v>
      </c>
      <c r="Z102" s="70"/>
      <c r="AA102" s="70"/>
      <c r="AB102" s="70">
        <f>SUM(E102:AA102)</f>
        <v>331</v>
      </c>
      <c r="AC102" s="70">
        <f>AD102-AB102</f>
        <v>1696</v>
      </c>
      <c r="AD102" s="70">
        <f>331+1696</f>
        <v>2027</v>
      </c>
      <c r="AE102" s="69">
        <f>(AB102/AD102)</f>
        <v>0.16329551060680808</v>
      </c>
      <c r="AF102" s="68" t="s">
        <v>71</v>
      </c>
    </row>
    <row r="103" spans="1:32" s="67" customFormat="1" ht="30" customHeight="1" x14ac:dyDescent="0.25">
      <c r="A103" s="71">
        <v>46147</v>
      </c>
      <c r="B103" s="70" t="s">
        <v>1</v>
      </c>
      <c r="C103" s="70" t="s">
        <v>6</v>
      </c>
      <c r="D103" s="70">
        <v>18</v>
      </c>
      <c r="E103" s="70">
        <f>10+25+15+15</f>
        <v>65</v>
      </c>
      <c r="F103" s="70">
        <f>7+11+6+24+5</f>
        <v>53</v>
      </c>
      <c r="G103" s="70"/>
      <c r="H103" s="70">
        <f>5+11+8</f>
        <v>24</v>
      </c>
      <c r="I103" s="70"/>
      <c r="J103" s="70"/>
      <c r="K103" s="70">
        <v>7</v>
      </c>
      <c r="L103" s="70"/>
      <c r="M103" s="70">
        <f>28+7+16+10+16</f>
        <v>77</v>
      </c>
      <c r="N103" s="70"/>
      <c r="O103" s="70">
        <f>5</f>
        <v>5</v>
      </c>
      <c r="P103" s="70"/>
      <c r="Q103" s="70"/>
      <c r="R103" s="70"/>
      <c r="S103" s="70">
        <f>26</f>
        <v>26</v>
      </c>
      <c r="T103" s="70">
        <f>5+12+4</f>
        <v>21</v>
      </c>
      <c r="U103" s="70"/>
      <c r="V103" s="70">
        <f>26+4+7+3+5+9</f>
        <v>54</v>
      </c>
      <c r="W103" s="70"/>
      <c r="X103" s="70"/>
      <c r="Y103" s="70"/>
      <c r="Z103" s="70"/>
      <c r="AA103" s="70"/>
      <c r="AB103" s="70">
        <f>SUM(E103:AA103)</f>
        <v>332</v>
      </c>
      <c r="AC103" s="70">
        <f>AD103-AB103</f>
        <v>960</v>
      </c>
      <c r="AD103" s="70">
        <f>332+960</f>
        <v>1292</v>
      </c>
      <c r="AE103" s="69">
        <f>(AB103/AD103)</f>
        <v>0.25696594427244585</v>
      </c>
      <c r="AF103" s="68" t="s">
        <v>71</v>
      </c>
    </row>
    <row r="104" spans="1:32" s="67" customFormat="1" ht="30" customHeight="1" x14ac:dyDescent="0.25">
      <c r="A104" s="71">
        <v>46147</v>
      </c>
      <c r="B104" s="70" t="s">
        <v>1</v>
      </c>
      <c r="C104" s="70" t="s">
        <v>2</v>
      </c>
      <c r="D104" s="70">
        <v>19</v>
      </c>
      <c r="E104" s="70">
        <v>31</v>
      </c>
      <c r="F104" s="70">
        <v>18</v>
      </c>
      <c r="G104" s="70">
        <v>46</v>
      </c>
      <c r="H104" s="70">
        <v>10</v>
      </c>
      <c r="I104" s="70"/>
      <c r="J104" s="70"/>
      <c r="K104" s="70"/>
      <c r="L104" s="70"/>
      <c r="M104" s="70">
        <v>16</v>
      </c>
      <c r="N104" s="70">
        <v>10</v>
      </c>
      <c r="O104" s="70"/>
      <c r="P104" s="70">
        <v>16</v>
      </c>
      <c r="Q104" s="70"/>
      <c r="R104" s="70"/>
      <c r="S104" s="70"/>
      <c r="T104" s="70">
        <v>3</v>
      </c>
      <c r="U104" s="70"/>
      <c r="V104" s="70">
        <v>32</v>
      </c>
      <c r="W104" s="70"/>
      <c r="X104" s="70"/>
      <c r="Y104" s="70"/>
      <c r="Z104" s="70"/>
      <c r="AA104" s="70"/>
      <c r="AB104" s="70">
        <f>SUM(E104:AA104)</f>
        <v>182</v>
      </c>
      <c r="AC104" s="70">
        <f>AD104-AB104</f>
        <v>644</v>
      </c>
      <c r="AD104" s="70">
        <f>182+644</f>
        <v>826</v>
      </c>
      <c r="AE104" s="69">
        <f>(AB104/AD104)</f>
        <v>0.22033898305084745</v>
      </c>
      <c r="AF104" s="68" t="s">
        <v>71</v>
      </c>
    </row>
    <row r="105" spans="1:32" s="67" customFormat="1" ht="30" customHeight="1" x14ac:dyDescent="0.25">
      <c r="A105" s="71">
        <v>46147</v>
      </c>
      <c r="B105" s="70" t="s">
        <v>1</v>
      </c>
      <c r="C105" s="70" t="s">
        <v>9</v>
      </c>
      <c r="D105" s="70">
        <v>20</v>
      </c>
      <c r="E105" s="70">
        <v>40</v>
      </c>
      <c r="F105" s="70"/>
      <c r="G105" s="70"/>
      <c r="H105" s="70">
        <v>5</v>
      </c>
      <c r="I105" s="70"/>
      <c r="J105" s="70"/>
      <c r="K105" s="70">
        <v>73</v>
      </c>
      <c r="L105" s="70"/>
      <c r="M105" s="70">
        <v>8</v>
      </c>
      <c r="N105" s="70"/>
      <c r="O105" s="70"/>
      <c r="P105" s="70">
        <v>22</v>
      </c>
      <c r="Q105" s="70"/>
      <c r="R105" s="70"/>
      <c r="S105" s="70"/>
      <c r="T105" s="70">
        <v>90</v>
      </c>
      <c r="U105" s="70"/>
      <c r="V105" s="70">
        <v>10</v>
      </c>
      <c r="W105" s="70"/>
      <c r="X105" s="70"/>
      <c r="Y105" s="70"/>
      <c r="Z105" s="70"/>
      <c r="AA105" s="70"/>
      <c r="AB105" s="70">
        <f>SUM(E105:AA105)</f>
        <v>248</v>
      </c>
      <c r="AC105" s="70">
        <f>AD105-AB105</f>
        <v>656</v>
      </c>
      <c r="AD105" s="70">
        <f>248+656</f>
        <v>904</v>
      </c>
      <c r="AE105" s="69">
        <f>(AB105/AD105)</f>
        <v>0.27433628318584069</v>
      </c>
      <c r="AF105" s="68" t="s">
        <v>71</v>
      </c>
    </row>
    <row r="106" spans="1:32" s="67" customFormat="1" ht="30" customHeight="1" x14ac:dyDescent="0.25">
      <c r="A106" s="71">
        <v>46147</v>
      </c>
      <c r="B106" s="70" t="s">
        <v>1</v>
      </c>
      <c r="C106" s="70" t="s">
        <v>75</v>
      </c>
      <c r="D106" s="70">
        <v>21</v>
      </c>
      <c r="E106" s="70">
        <v>168</v>
      </c>
      <c r="F106" s="70">
        <v>21</v>
      </c>
      <c r="G106" s="70">
        <v>18</v>
      </c>
      <c r="H106" s="70">
        <v>5</v>
      </c>
      <c r="I106" s="70">
        <v>5</v>
      </c>
      <c r="J106" s="70">
        <v>21</v>
      </c>
      <c r="K106" s="70"/>
      <c r="L106" s="70"/>
      <c r="M106" s="70">
        <v>22</v>
      </c>
      <c r="N106" s="70">
        <v>5</v>
      </c>
      <c r="O106" s="70">
        <v>20</v>
      </c>
      <c r="P106" s="70">
        <v>68</v>
      </c>
      <c r="Q106" s="70">
        <v>25</v>
      </c>
      <c r="R106" s="70"/>
      <c r="S106" s="70"/>
      <c r="T106" s="70"/>
      <c r="U106" s="70"/>
      <c r="V106" s="70">
        <v>82</v>
      </c>
      <c r="W106" s="70"/>
      <c r="X106" s="70"/>
      <c r="Y106" s="70">
        <v>10</v>
      </c>
      <c r="Z106" s="70"/>
      <c r="AA106" s="70"/>
      <c r="AB106" s="70">
        <f>SUM(E106:AA106)</f>
        <v>470</v>
      </c>
      <c r="AC106" s="70">
        <f>AD106-AB106</f>
        <v>770</v>
      </c>
      <c r="AD106" s="70">
        <f>470+770</f>
        <v>1240</v>
      </c>
      <c r="AE106" s="69">
        <f>(AB106/AD106)</f>
        <v>0.37903225806451613</v>
      </c>
      <c r="AF106" s="68" t="s">
        <v>71</v>
      </c>
    </row>
    <row r="107" spans="1:32" s="67" customFormat="1" ht="30" customHeight="1" x14ac:dyDescent="0.25">
      <c r="A107" s="71">
        <v>46147</v>
      </c>
      <c r="B107" s="70" t="s">
        <v>1</v>
      </c>
      <c r="C107" s="70" t="s">
        <v>8</v>
      </c>
      <c r="D107" s="70">
        <v>22</v>
      </c>
      <c r="E107" s="70">
        <v>67</v>
      </c>
      <c r="F107" s="70">
        <v>11</v>
      </c>
      <c r="G107" s="70">
        <v>13</v>
      </c>
      <c r="H107" s="70">
        <v>40</v>
      </c>
      <c r="I107" s="70"/>
      <c r="J107" s="70">
        <v>16</v>
      </c>
      <c r="K107" s="70"/>
      <c r="L107" s="70">
        <v>24</v>
      </c>
      <c r="M107" s="70">
        <v>163</v>
      </c>
      <c r="N107" s="70"/>
      <c r="O107" s="70">
        <v>16</v>
      </c>
      <c r="P107" s="70">
        <v>20</v>
      </c>
      <c r="Q107" s="70"/>
      <c r="R107" s="70"/>
      <c r="S107" s="70"/>
      <c r="T107" s="70">
        <v>20</v>
      </c>
      <c r="U107" s="70"/>
      <c r="V107" s="70"/>
      <c r="W107" s="70"/>
      <c r="X107" s="70"/>
      <c r="Y107" s="70"/>
      <c r="Z107" s="70"/>
      <c r="AA107" s="70"/>
      <c r="AB107" s="70">
        <f>SUM(E107:AA107)</f>
        <v>390</v>
      </c>
      <c r="AC107" s="70">
        <f>AD107-AB107</f>
        <v>704</v>
      </c>
      <c r="AD107" s="70">
        <f>390+704</f>
        <v>1094</v>
      </c>
      <c r="AE107" s="69">
        <f>(AB107/AD107)</f>
        <v>0.35648994515539306</v>
      </c>
      <c r="AF107" s="68" t="s">
        <v>71</v>
      </c>
    </row>
    <row r="108" spans="1:32" s="67" customFormat="1" ht="30" customHeight="1" x14ac:dyDescent="0.25">
      <c r="A108" s="71">
        <v>46147</v>
      </c>
      <c r="B108" s="70" t="s">
        <v>1</v>
      </c>
      <c r="C108" s="70" t="s">
        <v>10</v>
      </c>
      <c r="D108" s="70">
        <v>23</v>
      </c>
      <c r="E108" s="70">
        <v>213</v>
      </c>
      <c r="F108" s="70">
        <v>25</v>
      </c>
      <c r="G108" s="70"/>
      <c r="H108" s="70"/>
      <c r="I108" s="70"/>
      <c r="J108" s="70"/>
      <c r="K108" s="70"/>
      <c r="L108" s="70"/>
      <c r="M108" s="70">
        <v>38</v>
      </c>
      <c r="N108" s="70"/>
      <c r="O108" s="70"/>
      <c r="P108" s="70">
        <v>60</v>
      </c>
      <c r="Q108" s="70"/>
      <c r="R108" s="70"/>
      <c r="S108" s="70"/>
      <c r="T108" s="70">
        <v>10</v>
      </c>
      <c r="U108" s="70">
        <v>40</v>
      </c>
      <c r="V108" s="70">
        <f>13+12+20+31</f>
        <v>76</v>
      </c>
      <c r="W108" s="70"/>
      <c r="X108" s="70"/>
      <c r="Y108" s="70"/>
      <c r="Z108" s="70"/>
      <c r="AA108" s="70">
        <v>5</v>
      </c>
      <c r="AB108" s="70">
        <f>SUM(E108:AA108)</f>
        <v>467</v>
      </c>
      <c r="AC108" s="70">
        <f>AD108-AB108</f>
        <v>756</v>
      </c>
      <c r="AD108" s="70">
        <f>467+756</f>
        <v>1223</v>
      </c>
      <c r="AE108" s="69">
        <f>(AB108/AD108)</f>
        <v>0.38184791496320525</v>
      </c>
      <c r="AF108" s="68" t="s">
        <v>71</v>
      </c>
    </row>
    <row r="109" spans="1:32" s="67" customFormat="1" ht="30" customHeight="1" x14ac:dyDescent="0.25">
      <c r="A109" s="71">
        <v>46147</v>
      </c>
      <c r="B109" s="70" t="s">
        <v>1</v>
      </c>
      <c r="C109" s="70" t="s">
        <v>6</v>
      </c>
      <c r="D109" s="70">
        <v>24</v>
      </c>
      <c r="E109" s="70">
        <f>17+25+5</f>
        <v>47</v>
      </c>
      <c r="F109" s="70"/>
      <c r="G109" s="70"/>
      <c r="H109" s="70">
        <v>8</v>
      </c>
      <c r="I109" s="70"/>
      <c r="J109" s="70"/>
      <c r="K109" s="70">
        <v>5</v>
      </c>
      <c r="L109" s="70">
        <v>9</v>
      </c>
      <c r="M109" s="70">
        <v>38</v>
      </c>
      <c r="N109" s="70"/>
      <c r="O109" s="70"/>
      <c r="P109" s="70">
        <v>12</v>
      </c>
      <c r="Q109" s="70"/>
      <c r="R109" s="70"/>
      <c r="S109" s="70"/>
      <c r="T109" s="70"/>
      <c r="U109" s="70"/>
      <c r="V109" s="70">
        <f>9+2+10+5</f>
        <v>26</v>
      </c>
      <c r="W109" s="70"/>
      <c r="X109" s="70"/>
      <c r="Y109" s="70"/>
      <c r="Z109" s="70"/>
      <c r="AA109" s="70"/>
      <c r="AB109" s="70">
        <f>SUM(E109:AA109)</f>
        <v>145</v>
      </c>
      <c r="AC109" s="70">
        <f>AD109-AB109</f>
        <v>999</v>
      </c>
      <c r="AD109" s="70">
        <f>145+999</f>
        <v>1144</v>
      </c>
      <c r="AE109" s="69">
        <f>(AB109/AD109)</f>
        <v>0.12674825174825174</v>
      </c>
      <c r="AF109" s="68" t="s">
        <v>71</v>
      </c>
    </row>
    <row r="110" spans="1:32" s="67" customFormat="1" ht="30" customHeight="1" x14ac:dyDescent="0.25">
      <c r="A110" s="71">
        <v>46147</v>
      </c>
      <c r="B110" s="70" t="s">
        <v>5</v>
      </c>
      <c r="C110" s="70" t="s">
        <v>4</v>
      </c>
      <c r="D110" s="70">
        <v>25</v>
      </c>
      <c r="E110" s="70">
        <v>300</v>
      </c>
      <c r="F110" s="70"/>
      <c r="G110" s="70"/>
      <c r="H110" s="70">
        <v>135</v>
      </c>
      <c r="I110" s="70"/>
      <c r="J110" s="70"/>
      <c r="K110" s="70">
        <f>20+35</f>
        <v>55</v>
      </c>
      <c r="L110" s="70"/>
      <c r="M110" s="70">
        <v>90</v>
      </c>
      <c r="N110" s="70"/>
      <c r="O110" s="70">
        <v>30</v>
      </c>
      <c r="P110" s="70">
        <v>15</v>
      </c>
      <c r="Q110" s="70"/>
      <c r="R110" s="70"/>
      <c r="S110" s="70"/>
      <c r="T110" s="70"/>
      <c r="U110" s="70"/>
      <c r="V110" s="70">
        <f>25+35</f>
        <v>60</v>
      </c>
      <c r="W110" s="70"/>
      <c r="X110" s="70"/>
      <c r="Y110" s="70"/>
      <c r="Z110" s="70"/>
      <c r="AA110" s="70"/>
      <c r="AB110" s="70">
        <f>SUM(E110:AA110)</f>
        <v>685</v>
      </c>
      <c r="AC110" s="70">
        <f>AD110-AB110</f>
        <v>1680</v>
      </c>
      <c r="AD110" s="70">
        <f>685+1680</f>
        <v>2365</v>
      </c>
      <c r="AE110" s="69">
        <f>(AB110/AD110)</f>
        <v>0.28964059196617337</v>
      </c>
      <c r="AF110" s="68" t="s">
        <v>74</v>
      </c>
    </row>
    <row r="111" spans="1:32" s="67" customFormat="1" ht="30" customHeight="1" x14ac:dyDescent="0.25">
      <c r="A111" s="71">
        <v>46147</v>
      </c>
      <c r="B111" s="70" t="s">
        <v>73</v>
      </c>
      <c r="C111" s="70" t="s">
        <v>22</v>
      </c>
      <c r="D111" s="70">
        <v>26</v>
      </c>
      <c r="E111" s="70">
        <f>25+25+25+10</f>
        <v>85</v>
      </c>
      <c r="F111" s="70">
        <f>20+15+35+35+20</f>
        <v>125</v>
      </c>
      <c r="G111" s="70">
        <f>5</f>
        <v>5</v>
      </c>
      <c r="H111" s="70">
        <f>5</f>
        <v>5</v>
      </c>
      <c r="I111" s="70"/>
      <c r="J111" s="70"/>
      <c r="K111" s="70"/>
      <c r="L111" s="70"/>
      <c r="M111" s="70">
        <f>65+5+35</f>
        <v>105</v>
      </c>
      <c r="N111" s="70"/>
      <c r="O111" s="70"/>
      <c r="P111" s="70"/>
      <c r="Q111" s="70"/>
      <c r="R111" s="70"/>
      <c r="S111" s="70"/>
      <c r="T111" s="70">
        <f>15+15</f>
        <v>30</v>
      </c>
      <c r="U111" s="70"/>
      <c r="V111" s="70">
        <f>10+5+10</f>
        <v>25</v>
      </c>
      <c r="W111" s="70"/>
      <c r="X111" s="70"/>
      <c r="Y111" s="70"/>
      <c r="Z111" s="70"/>
      <c r="AA111" s="70"/>
      <c r="AB111" s="70">
        <f>SUM(E111:AA111)</f>
        <v>380</v>
      </c>
      <c r="AC111" s="70">
        <f>AD111-AB111</f>
        <v>456</v>
      </c>
      <c r="AD111" s="70">
        <f>380+456</f>
        <v>836</v>
      </c>
      <c r="AE111" s="69">
        <f>(AB111/AD111)</f>
        <v>0.45454545454545453</v>
      </c>
      <c r="AF111" s="68" t="s">
        <v>71</v>
      </c>
    </row>
    <row r="112" spans="1:32" s="67" customFormat="1" ht="30" customHeight="1" x14ac:dyDescent="0.25">
      <c r="A112" s="71">
        <v>46147</v>
      </c>
      <c r="B112" s="70" t="s">
        <v>78</v>
      </c>
      <c r="C112" s="70" t="s">
        <v>85</v>
      </c>
      <c r="D112" s="70">
        <v>27</v>
      </c>
      <c r="E112" s="70">
        <v>246</v>
      </c>
      <c r="F112" s="70">
        <v>5</v>
      </c>
      <c r="G112" s="70">
        <v>22</v>
      </c>
      <c r="H112" s="70">
        <v>15</v>
      </c>
      <c r="I112" s="70"/>
      <c r="J112" s="70"/>
      <c r="K112" s="70">
        <v>22</v>
      </c>
      <c r="L112" s="70"/>
      <c r="M112" s="70">
        <v>20</v>
      </c>
      <c r="N112" s="70"/>
      <c r="O112" s="70">
        <v>20</v>
      </c>
      <c r="P112" s="70">
        <v>40</v>
      </c>
      <c r="Q112" s="70"/>
      <c r="R112" s="70"/>
      <c r="S112" s="70">
        <v>15</v>
      </c>
      <c r="T112" s="70">
        <v>40</v>
      </c>
      <c r="U112" s="70"/>
      <c r="V112" s="70">
        <f>40</f>
        <v>40</v>
      </c>
      <c r="W112" s="70"/>
      <c r="X112" s="70"/>
      <c r="Y112" s="70"/>
      <c r="Z112" s="70"/>
      <c r="AA112" s="70"/>
      <c r="AB112" s="70">
        <f>SUM(E112:AA112)</f>
        <v>485</v>
      </c>
      <c r="AC112" s="70">
        <f>AD112-AB112</f>
        <v>826</v>
      </c>
      <c r="AD112" s="70">
        <f>485+826</f>
        <v>1311</v>
      </c>
      <c r="AE112" s="69">
        <f>(AB112/AD112)</f>
        <v>0.36994660564454612</v>
      </c>
      <c r="AF112" s="68" t="s">
        <v>71</v>
      </c>
    </row>
    <row r="113" spans="1:32" s="67" customFormat="1" ht="30" customHeight="1" x14ac:dyDescent="0.25">
      <c r="A113" s="71">
        <v>46147</v>
      </c>
      <c r="B113" s="70" t="s">
        <v>1</v>
      </c>
      <c r="C113" s="70" t="s">
        <v>0</v>
      </c>
      <c r="D113" s="70">
        <v>28</v>
      </c>
      <c r="E113" s="70"/>
      <c r="F113" s="70">
        <f>6+4+6+11+11</f>
        <v>38</v>
      </c>
      <c r="G113" s="70">
        <f>5+2+21+9+5</f>
        <v>42</v>
      </c>
      <c r="H113" s="70">
        <f>8+5</f>
        <v>13</v>
      </c>
      <c r="I113" s="70">
        <f>8</f>
        <v>8</v>
      </c>
      <c r="J113" s="70"/>
      <c r="K113" s="70"/>
      <c r="L113" s="70"/>
      <c r="M113" s="70">
        <f>3+5+5+4+6</f>
        <v>23</v>
      </c>
      <c r="N113" s="70"/>
      <c r="O113" s="70"/>
      <c r="P113" s="70">
        <f>13+5+3+5</f>
        <v>26</v>
      </c>
      <c r="Q113" s="70"/>
      <c r="R113" s="70"/>
      <c r="S113" s="70"/>
      <c r="T113" s="70"/>
      <c r="U113" s="70"/>
      <c r="V113" s="70">
        <f>3+3+2+2</f>
        <v>10</v>
      </c>
      <c r="W113" s="70"/>
      <c r="X113" s="70"/>
      <c r="Y113" s="70"/>
      <c r="Z113" s="70"/>
      <c r="AA113" s="70"/>
      <c r="AB113" s="70">
        <f>SUM(E113:AA113)</f>
        <v>160</v>
      </c>
      <c r="AC113" s="70">
        <f>AD113-AB113</f>
        <v>464</v>
      </c>
      <c r="AD113" s="70">
        <f>160+464</f>
        <v>624</v>
      </c>
      <c r="AE113" s="69">
        <f>(AB113/AD113)</f>
        <v>0.25641025641025639</v>
      </c>
      <c r="AF113" s="68" t="s">
        <v>71</v>
      </c>
    </row>
    <row r="114" spans="1:32" s="72" customFormat="1" ht="30" customHeight="1" x14ac:dyDescent="0.25">
      <c r="A114" s="76">
        <v>46148</v>
      </c>
      <c r="B114" s="75" t="s">
        <v>1</v>
      </c>
      <c r="C114" s="75" t="s">
        <v>26</v>
      </c>
      <c r="D114" s="75">
        <v>1</v>
      </c>
      <c r="E114" s="75">
        <v>43</v>
      </c>
      <c r="F114" s="75">
        <v>44</v>
      </c>
      <c r="G114" s="75"/>
      <c r="H114" s="75"/>
      <c r="I114" s="75"/>
      <c r="J114" s="75">
        <v>10</v>
      </c>
      <c r="K114" s="75">
        <v>20</v>
      </c>
      <c r="L114" s="75"/>
      <c r="M114" s="75">
        <v>45</v>
      </c>
      <c r="N114" s="75"/>
      <c r="O114" s="75"/>
      <c r="P114" s="75">
        <v>13</v>
      </c>
      <c r="Q114" s="75"/>
      <c r="R114" s="75"/>
      <c r="S114" s="75"/>
      <c r="T114" s="75">
        <v>64</v>
      </c>
      <c r="U114" s="75">
        <v>3</v>
      </c>
      <c r="V114" s="75">
        <v>19</v>
      </c>
      <c r="W114" s="75"/>
      <c r="X114" s="75"/>
      <c r="Y114" s="75"/>
      <c r="Z114" s="75"/>
      <c r="AA114" s="75"/>
      <c r="AB114" s="75">
        <f>SUM(E114:AA114)</f>
        <v>261</v>
      </c>
      <c r="AC114" s="75">
        <f>AD114-AB114</f>
        <v>490</v>
      </c>
      <c r="AD114" s="75">
        <f>261+490</f>
        <v>751</v>
      </c>
      <c r="AE114" s="74">
        <f>(AB114/AD114)</f>
        <v>0.34753661784287615</v>
      </c>
      <c r="AF114" s="73" t="s">
        <v>71</v>
      </c>
    </row>
    <row r="115" spans="1:32" s="67" customFormat="1" ht="30" customHeight="1" x14ac:dyDescent="0.25">
      <c r="A115" s="71">
        <v>46148</v>
      </c>
      <c r="B115" s="70" t="s">
        <v>78</v>
      </c>
      <c r="C115" s="70" t="s">
        <v>84</v>
      </c>
      <c r="D115" s="70">
        <v>2</v>
      </c>
      <c r="E115" s="70">
        <v>85</v>
      </c>
      <c r="F115" s="70">
        <v>31</v>
      </c>
      <c r="G115" s="70">
        <v>4</v>
      </c>
      <c r="H115" s="70">
        <v>6</v>
      </c>
      <c r="I115" s="70"/>
      <c r="J115" s="70"/>
      <c r="K115" s="70"/>
      <c r="L115" s="70"/>
      <c r="M115" s="70">
        <v>21</v>
      </c>
      <c r="N115" s="70"/>
      <c r="O115" s="70"/>
      <c r="P115" s="70">
        <v>34</v>
      </c>
      <c r="Q115" s="70">
        <v>36</v>
      </c>
      <c r="R115" s="70"/>
      <c r="S115" s="70"/>
      <c r="T115" s="70">
        <v>78</v>
      </c>
      <c r="U115" s="70"/>
      <c r="V115" s="70">
        <v>5</v>
      </c>
      <c r="W115" s="70"/>
      <c r="X115" s="70"/>
      <c r="Y115" s="70"/>
      <c r="Z115" s="70"/>
      <c r="AA115" s="70"/>
      <c r="AB115" s="70">
        <f>SUM(E115:AA115)</f>
        <v>300</v>
      </c>
      <c r="AC115" s="70">
        <f>AD115-AB115</f>
        <v>575</v>
      </c>
      <c r="AD115" s="70">
        <f>300+575</f>
        <v>875</v>
      </c>
      <c r="AE115" s="69">
        <f>(AB115/AD115)</f>
        <v>0.34285714285714286</v>
      </c>
      <c r="AF115" s="68" t="s">
        <v>71</v>
      </c>
    </row>
    <row r="116" spans="1:32" s="67" customFormat="1" ht="30" customHeight="1" x14ac:dyDescent="0.25">
      <c r="A116" s="71">
        <v>46148</v>
      </c>
      <c r="B116" s="70" t="s">
        <v>1</v>
      </c>
      <c r="C116" s="70" t="s">
        <v>9</v>
      </c>
      <c r="D116" s="70">
        <v>3</v>
      </c>
      <c r="E116" s="70">
        <v>21</v>
      </c>
      <c r="F116" s="70">
        <v>22</v>
      </c>
      <c r="G116" s="70">
        <v>3</v>
      </c>
      <c r="H116" s="70">
        <v>6</v>
      </c>
      <c r="I116" s="70">
        <v>9</v>
      </c>
      <c r="J116" s="70">
        <v>5</v>
      </c>
      <c r="K116" s="70">
        <v>14</v>
      </c>
      <c r="L116" s="70"/>
      <c r="M116" s="70">
        <v>61</v>
      </c>
      <c r="N116" s="70"/>
      <c r="O116" s="70">
        <v>5</v>
      </c>
      <c r="P116" s="70">
        <v>48</v>
      </c>
      <c r="Q116" s="70"/>
      <c r="R116" s="70"/>
      <c r="S116" s="70">
        <v>6</v>
      </c>
      <c r="T116" s="70">
        <v>9</v>
      </c>
      <c r="U116" s="70"/>
      <c r="V116" s="70">
        <f>9+18+13</f>
        <v>40</v>
      </c>
      <c r="W116" s="70"/>
      <c r="X116" s="70"/>
      <c r="Y116" s="70"/>
      <c r="Z116" s="70"/>
      <c r="AA116" s="70"/>
      <c r="AB116" s="70">
        <f>SUM(E116:AA116)</f>
        <v>249</v>
      </c>
      <c r="AC116" s="70">
        <f>AD116-AB116</f>
        <v>640</v>
      </c>
      <c r="AD116" s="70">
        <f>249+640</f>
        <v>889</v>
      </c>
      <c r="AE116" s="69">
        <f>(AB116/AD116)</f>
        <v>0.28008998875140606</v>
      </c>
      <c r="AF116" s="68" t="s">
        <v>71</v>
      </c>
    </row>
    <row r="117" spans="1:32" s="67" customFormat="1" ht="30" customHeight="1" x14ac:dyDescent="0.25">
      <c r="A117" s="71">
        <v>46148</v>
      </c>
      <c r="B117" s="70" t="s">
        <v>1</v>
      </c>
      <c r="C117" s="70" t="s">
        <v>16</v>
      </c>
      <c r="D117" s="70">
        <v>4</v>
      </c>
      <c r="E117" s="70">
        <v>191</v>
      </c>
      <c r="F117" s="70">
        <v>40</v>
      </c>
      <c r="G117" s="70"/>
      <c r="H117" s="70"/>
      <c r="I117" s="70"/>
      <c r="J117" s="70"/>
      <c r="K117" s="70"/>
      <c r="L117" s="70"/>
      <c r="M117" s="70">
        <v>219</v>
      </c>
      <c r="N117" s="70">
        <v>15</v>
      </c>
      <c r="O117" s="70"/>
      <c r="P117" s="70">
        <v>75</v>
      </c>
      <c r="Q117" s="70"/>
      <c r="R117" s="70">
        <v>79</v>
      </c>
      <c r="S117" s="70"/>
      <c r="T117" s="70">
        <v>20</v>
      </c>
      <c r="U117" s="70"/>
      <c r="V117" s="70">
        <f>105+25+15</f>
        <v>145</v>
      </c>
      <c r="W117" s="70"/>
      <c r="X117" s="70"/>
      <c r="Y117" s="70"/>
      <c r="Z117" s="70"/>
      <c r="AA117" s="70">
        <v>24</v>
      </c>
      <c r="AB117" s="70">
        <f>SUM(E117:AA117)</f>
        <v>808</v>
      </c>
      <c r="AC117" s="70">
        <f>AD117-AB117</f>
        <v>1600</v>
      </c>
      <c r="AD117" s="70">
        <f>808+1600</f>
        <v>2408</v>
      </c>
      <c r="AE117" s="69">
        <f>(AB117/AD117)</f>
        <v>0.33554817275747506</v>
      </c>
      <c r="AF117" s="68" t="s">
        <v>71</v>
      </c>
    </row>
    <row r="118" spans="1:32" s="67" customFormat="1" ht="30" customHeight="1" x14ac:dyDescent="0.25">
      <c r="A118" s="71">
        <v>46148</v>
      </c>
      <c r="B118" s="70" t="s">
        <v>1</v>
      </c>
      <c r="C118" s="70" t="s">
        <v>16</v>
      </c>
      <c r="D118" s="70">
        <v>5</v>
      </c>
      <c r="E118" s="70">
        <v>141</v>
      </c>
      <c r="F118" s="70">
        <v>160</v>
      </c>
      <c r="G118" s="70">
        <v>30</v>
      </c>
      <c r="H118" s="70">
        <v>41</v>
      </c>
      <c r="I118" s="70">
        <v>15</v>
      </c>
      <c r="J118" s="70"/>
      <c r="K118" s="70"/>
      <c r="L118" s="70"/>
      <c r="M118" s="70">
        <v>344</v>
      </c>
      <c r="N118" s="70"/>
      <c r="O118" s="70"/>
      <c r="P118" s="70">
        <v>230</v>
      </c>
      <c r="Q118" s="70"/>
      <c r="R118" s="70">
        <v>74</v>
      </c>
      <c r="S118" s="70"/>
      <c r="T118" s="70"/>
      <c r="U118" s="70"/>
      <c r="V118" s="70">
        <v>275</v>
      </c>
      <c r="W118" s="70"/>
      <c r="X118" s="70"/>
      <c r="Y118" s="70"/>
      <c r="Z118" s="70"/>
      <c r="AA118" s="70"/>
      <c r="AB118" s="70">
        <f>SUM(E118:AA118)</f>
        <v>1310</v>
      </c>
      <c r="AC118" s="70">
        <f>AD118-AB118</f>
        <v>1600</v>
      </c>
      <c r="AD118" s="70">
        <f>1310+1600</f>
        <v>2910</v>
      </c>
      <c r="AE118" s="69">
        <f>(AB118/AD118)</f>
        <v>0.45017182130584193</v>
      </c>
      <c r="AF118" s="68" t="s">
        <v>71</v>
      </c>
    </row>
    <row r="119" spans="1:32" s="67" customFormat="1" ht="30" customHeight="1" x14ac:dyDescent="0.25">
      <c r="A119" s="71">
        <v>46148</v>
      </c>
      <c r="B119" s="70" t="s">
        <v>1</v>
      </c>
      <c r="C119" s="70" t="s">
        <v>15</v>
      </c>
      <c r="D119" s="70">
        <v>6</v>
      </c>
      <c r="E119" s="70">
        <v>184</v>
      </c>
      <c r="F119" s="70">
        <v>36</v>
      </c>
      <c r="G119" s="70">
        <v>10</v>
      </c>
      <c r="H119" s="70">
        <v>98</v>
      </c>
      <c r="I119" s="70"/>
      <c r="J119" s="70">
        <v>5</v>
      </c>
      <c r="K119" s="70">
        <v>10</v>
      </c>
      <c r="L119" s="70"/>
      <c r="M119" s="70">
        <v>68</v>
      </c>
      <c r="N119" s="70">
        <v>18</v>
      </c>
      <c r="O119" s="70"/>
      <c r="P119" s="70">
        <v>105</v>
      </c>
      <c r="Q119" s="70"/>
      <c r="R119" s="70">
        <v>78</v>
      </c>
      <c r="S119" s="70"/>
      <c r="T119" s="70">
        <v>28</v>
      </c>
      <c r="U119" s="70"/>
      <c r="V119" s="70">
        <f>93+15</f>
        <v>108</v>
      </c>
      <c r="W119" s="70"/>
      <c r="X119" s="70"/>
      <c r="Y119" s="70">
        <v>15</v>
      </c>
      <c r="Z119" s="70"/>
      <c r="AA119" s="70">
        <f>5</f>
        <v>5</v>
      </c>
      <c r="AB119" s="70">
        <f>SUM(E119:AA119)</f>
        <v>768</v>
      </c>
      <c r="AC119" s="70">
        <f>AD119-AB119</f>
        <v>1120</v>
      </c>
      <c r="AD119" s="70">
        <f>768+1120</f>
        <v>1888</v>
      </c>
      <c r="AE119" s="69">
        <f>(AB119/AD119)</f>
        <v>0.40677966101694918</v>
      </c>
      <c r="AF119" s="68" t="s">
        <v>71</v>
      </c>
    </row>
    <row r="120" spans="1:32" s="67" customFormat="1" ht="30" customHeight="1" x14ac:dyDescent="0.25">
      <c r="A120" s="71">
        <v>46148</v>
      </c>
      <c r="B120" s="70" t="s">
        <v>1</v>
      </c>
      <c r="C120" s="70" t="s">
        <v>14</v>
      </c>
      <c r="D120" s="70">
        <v>7</v>
      </c>
      <c r="E120" s="70">
        <v>99</v>
      </c>
      <c r="F120" s="70">
        <v>5</v>
      </c>
      <c r="G120" s="70">
        <v>65</v>
      </c>
      <c r="H120" s="70">
        <v>30</v>
      </c>
      <c r="I120" s="70"/>
      <c r="J120" s="70">
        <v>10</v>
      </c>
      <c r="K120" s="70"/>
      <c r="L120" s="70"/>
      <c r="M120" s="70">
        <v>20</v>
      </c>
      <c r="N120" s="70">
        <v>10</v>
      </c>
      <c r="O120" s="70"/>
      <c r="P120" s="70">
        <v>35</v>
      </c>
      <c r="Q120" s="70"/>
      <c r="R120" s="70">
        <v>10</v>
      </c>
      <c r="S120" s="70"/>
      <c r="T120" s="70"/>
      <c r="U120" s="70"/>
      <c r="V120" s="70">
        <v>10</v>
      </c>
      <c r="W120" s="70"/>
      <c r="X120" s="70"/>
      <c r="Y120" s="70"/>
      <c r="Z120" s="70"/>
      <c r="AA120" s="70"/>
      <c r="AB120" s="70">
        <f>SUM(E120:AA120)</f>
        <v>294</v>
      </c>
      <c r="AC120" s="70">
        <f>AD120-AB120</f>
        <v>495</v>
      </c>
      <c r="AD120" s="70">
        <f>294+495</f>
        <v>789</v>
      </c>
      <c r="AE120" s="69">
        <f>(AB120/AD120)</f>
        <v>0.37262357414448671</v>
      </c>
      <c r="AF120" s="68" t="s">
        <v>71</v>
      </c>
    </row>
    <row r="121" spans="1:32" s="67" customFormat="1" ht="30" customHeight="1" x14ac:dyDescent="0.25">
      <c r="A121" s="71">
        <v>46148</v>
      </c>
      <c r="B121" s="70" t="s">
        <v>73</v>
      </c>
      <c r="C121" s="70" t="s">
        <v>83</v>
      </c>
      <c r="D121" s="70">
        <v>8</v>
      </c>
      <c r="E121" s="70">
        <v>138</v>
      </c>
      <c r="F121" s="70">
        <v>38</v>
      </c>
      <c r="G121" s="70">
        <v>19</v>
      </c>
      <c r="H121" s="70">
        <v>55</v>
      </c>
      <c r="I121" s="70"/>
      <c r="J121" s="70"/>
      <c r="K121" s="70"/>
      <c r="L121" s="70"/>
      <c r="M121" s="70">
        <v>69</v>
      </c>
      <c r="N121" s="70">
        <v>8</v>
      </c>
      <c r="O121" s="70"/>
      <c r="P121" s="70">
        <v>35</v>
      </c>
      <c r="Q121" s="70">
        <v>10</v>
      </c>
      <c r="R121" s="70"/>
      <c r="S121" s="70"/>
      <c r="T121" s="70">
        <v>90</v>
      </c>
      <c r="U121" s="70"/>
      <c r="V121" s="70">
        <v>153</v>
      </c>
      <c r="W121" s="70"/>
      <c r="X121" s="70"/>
      <c r="Y121" s="70">
        <v>3</v>
      </c>
      <c r="Z121" s="70"/>
      <c r="AA121" s="70"/>
      <c r="AB121" s="70">
        <f>SUM(E121:AA121)</f>
        <v>618</v>
      </c>
      <c r="AC121" s="70">
        <f>AD121-AB121</f>
        <v>910</v>
      </c>
      <c r="AD121" s="70">
        <f>618+910</f>
        <v>1528</v>
      </c>
      <c r="AE121" s="69">
        <f>(AB121/AD121)</f>
        <v>0.40445026178010474</v>
      </c>
      <c r="AF121" s="68" t="s">
        <v>71</v>
      </c>
    </row>
    <row r="122" spans="1:32" s="67" customFormat="1" ht="30" customHeight="1" x14ac:dyDescent="0.25">
      <c r="A122" s="71">
        <v>46148</v>
      </c>
      <c r="B122" s="70" t="s">
        <v>1</v>
      </c>
      <c r="C122" s="70" t="s">
        <v>12</v>
      </c>
      <c r="D122" s="70">
        <v>9</v>
      </c>
      <c r="E122" s="70">
        <v>193</v>
      </c>
      <c r="F122" s="70">
        <v>31</v>
      </c>
      <c r="G122" s="70">
        <v>42</v>
      </c>
      <c r="H122" s="70">
        <v>67</v>
      </c>
      <c r="I122" s="70">
        <v>17</v>
      </c>
      <c r="J122" s="70">
        <v>30</v>
      </c>
      <c r="K122" s="70">
        <v>13</v>
      </c>
      <c r="L122" s="70"/>
      <c r="M122" s="70">
        <v>120</v>
      </c>
      <c r="N122" s="70">
        <v>20</v>
      </c>
      <c r="O122" s="70"/>
      <c r="P122" s="70">
        <v>55</v>
      </c>
      <c r="Q122" s="70"/>
      <c r="R122" s="70"/>
      <c r="S122" s="70"/>
      <c r="T122" s="70">
        <v>18</v>
      </c>
      <c r="U122" s="70"/>
      <c r="V122" s="70">
        <f>58+26</f>
        <v>84</v>
      </c>
      <c r="W122" s="70">
        <v>1</v>
      </c>
      <c r="X122" s="70"/>
      <c r="Y122" s="70">
        <v>41</v>
      </c>
      <c r="Z122" s="70"/>
      <c r="AA122" s="70"/>
      <c r="AB122" s="70">
        <f>SUM(E122:AA122)</f>
        <v>732</v>
      </c>
      <c r="AC122" s="70">
        <f>AD122-AB122</f>
        <v>1696</v>
      </c>
      <c r="AD122" s="70">
        <f>732+1696</f>
        <v>2428</v>
      </c>
      <c r="AE122" s="69">
        <f>(AB122/AD122)</f>
        <v>0.30148270181219111</v>
      </c>
      <c r="AF122" s="68" t="s">
        <v>71</v>
      </c>
    </row>
    <row r="123" spans="1:32" s="67" customFormat="1" ht="30" customHeight="1" x14ac:dyDescent="0.25">
      <c r="A123" s="71">
        <v>46148</v>
      </c>
      <c r="B123" s="70" t="s">
        <v>1</v>
      </c>
      <c r="C123" s="70" t="s">
        <v>0</v>
      </c>
      <c r="D123" s="70">
        <v>10</v>
      </c>
      <c r="E123" s="70">
        <v>49</v>
      </c>
      <c r="F123" s="70">
        <v>5</v>
      </c>
      <c r="G123" s="70">
        <v>32</v>
      </c>
      <c r="H123" s="70"/>
      <c r="I123" s="70">
        <v>4</v>
      </c>
      <c r="J123" s="70">
        <v>18</v>
      </c>
      <c r="K123" s="70"/>
      <c r="L123" s="70">
        <v>8</v>
      </c>
      <c r="M123" s="70"/>
      <c r="N123" s="70"/>
      <c r="O123" s="70">
        <v>10</v>
      </c>
      <c r="P123" s="70">
        <v>16</v>
      </c>
      <c r="Q123" s="70"/>
      <c r="R123" s="70"/>
      <c r="S123" s="70"/>
      <c r="T123" s="70"/>
      <c r="U123" s="70"/>
      <c r="V123" s="70">
        <f>30+39</f>
        <v>69</v>
      </c>
      <c r="W123" s="70"/>
      <c r="X123" s="70"/>
      <c r="Y123" s="70"/>
      <c r="Z123" s="70"/>
      <c r="AA123" s="70"/>
      <c r="AB123" s="70">
        <f>SUM(E123:AA123)</f>
        <v>211</v>
      </c>
      <c r="AC123" s="70">
        <f>AD123-AB123</f>
        <v>464</v>
      </c>
      <c r="AD123" s="70">
        <f>211+464</f>
        <v>675</v>
      </c>
      <c r="AE123" s="69">
        <f>(AB123/AD123)</f>
        <v>0.31259259259259259</v>
      </c>
      <c r="AF123" s="68" t="s">
        <v>71</v>
      </c>
    </row>
    <row r="124" spans="1:32" s="67" customFormat="1" ht="30" customHeight="1" x14ac:dyDescent="0.25">
      <c r="A124" s="71">
        <v>46148</v>
      </c>
      <c r="B124" s="70" t="s">
        <v>1</v>
      </c>
      <c r="C124" s="70" t="s">
        <v>10</v>
      </c>
      <c r="D124" s="70">
        <v>11</v>
      </c>
      <c r="E124" s="70">
        <v>120</v>
      </c>
      <c r="F124" s="70">
        <v>42</v>
      </c>
      <c r="G124" s="70">
        <v>16</v>
      </c>
      <c r="H124" s="70"/>
      <c r="I124" s="70"/>
      <c r="J124" s="70">
        <v>16</v>
      </c>
      <c r="K124" s="70"/>
      <c r="L124" s="70"/>
      <c r="M124" s="70">
        <v>38</v>
      </c>
      <c r="N124" s="70"/>
      <c r="O124" s="70"/>
      <c r="P124" s="70">
        <v>36</v>
      </c>
      <c r="Q124" s="70"/>
      <c r="R124" s="70">
        <v>11</v>
      </c>
      <c r="S124" s="70"/>
      <c r="T124" s="70">
        <v>10</v>
      </c>
      <c r="U124" s="70"/>
      <c r="V124" s="70">
        <f>9+20+29</f>
        <v>58</v>
      </c>
      <c r="W124" s="70"/>
      <c r="X124" s="70"/>
      <c r="Y124" s="70"/>
      <c r="Z124" s="70"/>
      <c r="AA124" s="70">
        <v>10</v>
      </c>
      <c r="AB124" s="70">
        <f>SUM(E124:AA124)</f>
        <v>357</v>
      </c>
      <c r="AC124" s="70">
        <f>AD124-AB124</f>
        <v>880</v>
      </c>
      <c r="AD124" s="70">
        <f>357+880</f>
        <v>1237</v>
      </c>
      <c r="AE124" s="69">
        <f>(AB124/AD124)</f>
        <v>0.28860145513338725</v>
      </c>
      <c r="AF124" s="68" t="s">
        <v>71</v>
      </c>
    </row>
    <row r="125" spans="1:32" s="67" customFormat="1" ht="30" customHeight="1" x14ac:dyDescent="0.25">
      <c r="A125" s="71">
        <v>46148</v>
      </c>
      <c r="B125" s="70" t="s">
        <v>78</v>
      </c>
      <c r="C125" s="70" t="s">
        <v>18</v>
      </c>
      <c r="D125" s="70">
        <v>13</v>
      </c>
      <c r="E125" s="70">
        <v>81</v>
      </c>
      <c r="F125" s="70"/>
      <c r="G125" s="70">
        <v>69</v>
      </c>
      <c r="H125" s="70">
        <v>94</v>
      </c>
      <c r="I125" s="70">
        <v>15</v>
      </c>
      <c r="J125" s="70">
        <v>13</v>
      </c>
      <c r="K125" s="70"/>
      <c r="L125" s="70"/>
      <c r="M125" s="70">
        <v>75</v>
      </c>
      <c r="N125" s="70"/>
      <c r="O125" s="70"/>
      <c r="P125" s="70">
        <v>75</v>
      </c>
      <c r="Q125" s="70"/>
      <c r="R125" s="70"/>
      <c r="S125" s="70"/>
      <c r="T125" s="70"/>
      <c r="U125" s="70"/>
      <c r="V125" s="70">
        <f>108+5</f>
        <v>113</v>
      </c>
      <c r="W125" s="70"/>
      <c r="X125" s="70"/>
      <c r="Y125" s="70"/>
      <c r="Z125" s="70"/>
      <c r="AA125" s="70"/>
      <c r="AB125" s="70">
        <f>SUM(E125:AA125)</f>
        <v>535</v>
      </c>
      <c r="AC125" s="70">
        <f>AD125-AB125</f>
        <v>1260</v>
      </c>
      <c r="AD125" s="70">
        <f>535+1260</f>
        <v>1795</v>
      </c>
      <c r="AE125" s="69">
        <f>(AB125/AD125)</f>
        <v>0.29805013927576601</v>
      </c>
      <c r="AF125" s="68" t="s">
        <v>71</v>
      </c>
    </row>
    <row r="126" spans="1:32" s="67" customFormat="1" ht="30" customHeight="1" x14ac:dyDescent="0.25">
      <c r="A126" s="71">
        <v>46148</v>
      </c>
      <c r="B126" s="70" t="s">
        <v>1</v>
      </c>
      <c r="C126" s="70" t="s">
        <v>8</v>
      </c>
      <c r="D126" s="70">
        <v>14</v>
      </c>
      <c r="E126" s="70">
        <f>13+14+5</f>
        <v>32</v>
      </c>
      <c r="F126" s="70">
        <f>7+8+5</f>
        <v>20</v>
      </c>
      <c r="G126" s="70">
        <f>3</f>
        <v>3</v>
      </c>
      <c r="H126" s="70"/>
      <c r="I126" s="70"/>
      <c r="J126" s="70"/>
      <c r="K126" s="70">
        <v>13</v>
      </c>
      <c r="L126" s="70">
        <f>6+3</f>
        <v>9</v>
      </c>
      <c r="M126" s="70">
        <f>24+3+11+8+5</f>
        <v>51</v>
      </c>
      <c r="N126" s="70"/>
      <c r="O126" s="70">
        <f>16+6</f>
        <v>22</v>
      </c>
      <c r="P126" s="70">
        <f>8+4+5</f>
        <v>17</v>
      </c>
      <c r="Q126" s="70"/>
      <c r="R126" s="70"/>
      <c r="S126" s="70"/>
      <c r="T126" s="70">
        <v>9</v>
      </c>
      <c r="U126" s="70"/>
      <c r="V126" s="70">
        <f>8+4+4+5+9</f>
        <v>30</v>
      </c>
      <c r="W126" s="70"/>
      <c r="X126" s="70"/>
      <c r="Y126" s="70"/>
      <c r="Z126" s="70"/>
      <c r="AA126" s="70">
        <f>9+9</f>
        <v>18</v>
      </c>
      <c r="AB126" s="70">
        <f>SUM(E126:AA126)</f>
        <v>224</v>
      </c>
      <c r="AC126" s="70">
        <f>AD126-AB126</f>
        <v>672</v>
      </c>
      <c r="AD126" s="70">
        <f>224+672</f>
        <v>896</v>
      </c>
      <c r="AE126" s="69">
        <f>(AB126/AD126)</f>
        <v>0.25</v>
      </c>
      <c r="AF126" s="68" t="s">
        <v>71</v>
      </c>
    </row>
    <row r="127" spans="1:32" s="67" customFormat="1" ht="30" customHeight="1" x14ac:dyDescent="0.25">
      <c r="A127" s="71">
        <v>46148</v>
      </c>
      <c r="B127" s="70" t="s">
        <v>73</v>
      </c>
      <c r="C127" s="70" t="s">
        <v>7</v>
      </c>
      <c r="D127" s="70">
        <v>15</v>
      </c>
      <c r="E127" s="70">
        <v>3</v>
      </c>
      <c r="F127" s="70">
        <v>30</v>
      </c>
      <c r="G127" s="70"/>
      <c r="H127" s="70"/>
      <c r="I127" s="70"/>
      <c r="J127" s="70"/>
      <c r="K127" s="70">
        <v>13</v>
      </c>
      <c r="L127" s="70">
        <v>11</v>
      </c>
      <c r="M127" s="70">
        <v>41</v>
      </c>
      <c r="N127" s="70"/>
      <c r="O127" s="70"/>
      <c r="P127" s="70">
        <v>3</v>
      </c>
      <c r="Q127" s="70"/>
      <c r="R127" s="70"/>
      <c r="S127" s="70"/>
      <c r="T127" s="70">
        <v>12</v>
      </c>
      <c r="U127" s="70"/>
      <c r="V127" s="70">
        <f>3+7</f>
        <v>10</v>
      </c>
      <c r="W127" s="70"/>
      <c r="X127" s="70"/>
      <c r="Y127" s="70"/>
      <c r="Z127" s="70"/>
      <c r="AA127" s="70"/>
      <c r="AB127" s="70">
        <f>SUM(E127:AA127)</f>
        <v>123</v>
      </c>
      <c r="AC127" s="70">
        <f>AD127-AB127</f>
        <v>186</v>
      </c>
      <c r="AD127" s="70">
        <f>123+186</f>
        <v>309</v>
      </c>
      <c r="AE127" s="69">
        <f>(AB127/AD127)</f>
        <v>0.39805825242718446</v>
      </c>
      <c r="AF127" s="68" t="s">
        <v>71</v>
      </c>
    </row>
    <row r="128" spans="1:32" s="67" customFormat="1" ht="30" customHeight="1" x14ac:dyDescent="0.25">
      <c r="A128" s="71">
        <v>46148</v>
      </c>
      <c r="B128" s="70" t="s">
        <v>1</v>
      </c>
      <c r="C128" s="70" t="s">
        <v>10</v>
      </c>
      <c r="D128" s="70">
        <v>16</v>
      </c>
      <c r="E128" s="70">
        <f>15+22+6+10+10</f>
        <v>63</v>
      </c>
      <c r="F128" s="70">
        <f>4+4+4+7+7</f>
        <v>26</v>
      </c>
      <c r="G128" s="70">
        <f>27+16</f>
        <v>43</v>
      </c>
      <c r="H128" s="70">
        <f>6</f>
        <v>6</v>
      </c>
      <c r="I128" s="70"/>
      <c r="J128" s="70"/>
      <c r="K128" s="70">
        <f>6</f>
        <v>6</v>
      </c>
      <c r="L128" s="70"/>
      <c r="M128" s="70">
        <f>18+4+4+6+5+5+4+9+5+5</f>
        <v>65</v>
      </c>
      <c r="N128" s="70"/>
      <c r="O128" s="70">
        <v>14</v>
      </c>
      <c r="P128" s="70">
        <f>11+14+4+4+45+13+7+9</f>
        <v>107</v>
      </c>
      <c r="Q128" s="70"/>
      <c r="R128" s="70"/>
      <c r="S128" s="70"/>
      <c r="T128" s="70">
        <f>8+16+11+7</f>
        <v>42</v>
      </c>
      <c r="U128" s="70"/>
      <c r="V128" s="70">
        <f>15+7+6+6</f>
        <v>34</v>
      </c>
      <c r="W128" s="70"/>
      <c r="X128" s="70"/>
      <c r="Y128" s="70"/>
      <c r="Z128" s="70"/>
      <c r="AA128" s="70">
        <f>6+6+19</f>
        <v>31</v>
      </c>
      <c r="AB128" s="70">
        <f>SUM(E128:AA128)</f>
        <v>437</v>
      </c>
      <c r="AC128" s="70">
        <f>AD128-AB128</f>
        <v>880</v>
      </c>
      <c r="AD128" s="70">
        <f>437+880</f>
        <v>1317</v>
      </c>
      <c r="AE128" s="69">
        <f>(AB128/AD128)</f>
        <v>0.33181473044798787</v>
      </c>
      <c r="AF128" s="68" t="s">
        <v>71</v>
      </c>
    </row>
    <row r="129" spans="1:32" s="67" customFormat="1" ht="30" customHeight="1" x14ac:dyDescent="0.25">
      <c r="A129" s="71">
        <v>46148</v>
      </c>
      <c r="B129" s="70" t="s">
        <v>73</v>
      </c>
      <c r="C129" s="70" t="s">
        <v>12</v>
      </c>
      <c r="D129" s="70">
        <v>17</v>
      </c>
      <c r="E129" s="70">
        <v>104</v>
      </c>
      <c r="F129" s="70"/>
      <c r="G129" s="70">
        <v>13</v>
      </c>
      <c r="H129" s="70"/>
      <c r="I129" s="70">
        <v>4</v>
      </c>
      <c r="J129" s="70">
        <v>44</v>
      </c>
      <c r="K129" s="70"/>
      <c r="L129" s="70"/>
      <c r="M129" s="70">
        <v>31</v>
      </c>
      <c r="N129" s="70"/>
      <c r="O129" s="70"/>
      <c r="P129" s="70">
        <v>5</v>
      </c>
      <c r="Q129" s="70"/>
      <c r="R129" s="70"/>
      <c r="S129" s="70"/>
      <c r="T129" s="70"/>
      <c r="U129" s="70"/>
      <c r="V129" s="70">
        <v>125</v>
      </c>
      <c r="W129" s="70"/>
      <c r="X129" s="70"/>
      <c r="Y129" s="70"/>
      <c r="Z129" s="70"/>
      <c r="AA129" s="70"/>
      <c r="AB129" s="70">
        <f>SUM(E129:AA129)</f>
        <v>326</v>
      </c>
      <c r="AC129" s="70">
        <f>AD129-AB129</f>
        <v>1696</v>
      </c>
      <c r="AD129" s="70">
        <f>326+1696</f>
        <v>2022</v>
      </c>
      <c r="AE129" s="69">
        <f>(AB129/AD129)</f>
        <v>0.16122650840751732</v>
      </c>
      <c r="AF129" s="68" t="s">
        <v>71</v>
      </c>
    </row>
    <row r="130" spans="1:32" s="67" customFormat="1" ht="30" customHeight="1" x14ac:dyDescent="0.25">
      <c r="A130" s="71">
        <v>46148</v>
      </c>
      <c r="B130" s="70" t="s">
        <v>1</v>
      </c>
      <c r="C130" s="70" t="s">
        <v>6</v>
      </c>
      <c r="D130" s="70">
        <v>18</v>
      </c>
      <c r="E130" s="70">
        <v>72</v>
      </c>
      <c r="F130" s="70">
        <v>58</v>
      </c>
      <c r="G130" s="70"/>
      <c r="H130" s="70">
        <v>27</v>
      </c>
      <c r="I130" s="70"/>
      <c r="J130" s="70"/>
      <c r="K130" s="70">
        <v>5</v>
      </c>
      <c r="L130" s="70"/>
      <c r="M130" s="70">
        <v>102</v>
      </c>
      <c r="N130" s="70"/>
      <c r="O130" s="70">
        <v>7</v>
      </c>
      <c r="P130" s="70"/>
      <c r="Q130" s="70"/>
      <c r="R130" s="70"/>
      <c r="S130" s="70">
        <v>10</v>
      </c>
      <c r="T130" s="70">
        <v>6</v>
      </c>
      <c r="U130" s="70"/>
      <c r="V130" s="70">
        <f>23+17</f>
        <v>40</v>
      </c>
      <c r="W130" s="70"/>
      <c r="X130" s="70"/>
      <c r="Y130" s="70"/>
      <c r="Z130" s="70"/>
      <c r="AA130" s="70"/>
      <c r="AB130" s="70">
        <f>SUM(E130:AA130)</f>
        <v>327</v>
      </c>
      <c r="AC130" s="70">
        <f>AD130-AB130</f>
        <v>960</v>
      </c>
      <c r="AD130" s="70">
        <f>327+960</f>
        <v>1287</v>
      </c>
      <c r="AE130" s="69">
        <f>(AB130/AD130)</f>
        <v>0.25407925407925408</v>
      </c>
      <c r="AF130" s="68" t="s">
        <v>71</v>
      </c>
    </row>
    <row r="131" spans="1:32" s="67" customFormat="1" ht="30" customHeight="1" x14ac:dyDescent="0.25">
      <c r="A131" s="71">
        <v>46148</v>
      </c>
      <c r="B131" s="70" t="s">
        <v>1</v>
      </c>
      <c r="C131" s="70" t="s">
        <v>2</v>
      </c>
      <c r="D131" s="70">
        <v>19</v>
      </c>
      <c r="E131" s="70">
        <v>37</v>
      </c>
      <c r="F131" s="70">
        <v>16</v>
      </c>
      <c r="G131" s="70">
        <v>30</v>
      </c>
      <c r="H131" s="70">
        <v>5</v>
      </c>
      <c r="I131" s="70"/>
      <c r="J131" s="70"/>
      <c r="K131" s="70"/>
      <c r="L131" s="70"/>
      <c r="M131" s="70">
        <v>3</v>
      </c>
      <c r="N131" s="70">
        <v>2</v>
      </c>
      <c r="O131" s="70"/>
      <c r="P131" s="70">
        <v>5</v>
      </c>
      <c r="Q131" s="70"/>
      <c r="R131" s="70"/>
      <c r="S131" s="70"/>
      <c r="T131" s="70">
        <v>47</v>
      </c>
      <c r="U131" s="70"/>
      <c r="V131" s="70">
        <v>33</v>
      </c>
      <c r="W131" s="70"/>
      <c r="X131" s="70"/>
      <c r="Y131" s="70"/>
      <c r="Z131" s="70"/>
      <c r="AA131" s="70"/>
      <c r="AB131" s="70">
        <f>SUM(E131:AA131)</f>
        <v>178</v>
      </c>
      <c r="AC131" s="70">
        <f>AD131-AB131</f>
        <v>658</v>
      </c>
      <c r="AD131" s="70">
        <f>178+658</f>
        <v>836</v>
      </c>
      <c r="AE131" s="69">
        <f>(AB131/AD131)</f>
        <v>0.21291866028708134</v>
      </c>
      <c r="AF131" s="68" t="s">
        <v>71</v>
      </c>
    </row>
    <row r="132" spans="1:32" s="67" customFormat="1" ht="30" customHeight="1" x14ac:dyDescent="0.25">
      <c r="A132" s="71">
        <v>46148</v>
      </c>
      <c r="B132" s="70" t="s">
        <v>1</v>
      </c>
      <c r="C132" s="70" t="s">
        <v>9</v>
      </c>
      <c r="D132" s="70">
        <v>20</v>
      </c>
      <c r="E132" s="70">
        <v>43</v>
      </c>
      <c r="F132" s="70">
        <v>3</v>
      </c>
      <c r="G132" s="70"/>
      <c r="H132" s="70"/>
      <c r="I132" s="70"/>
      <c r="J132" s="70"/>
      <c r="K132" s="70">
        <v>31</v>
      </c>
      <c r="L132" s="70"/>
      <c r="M132" s="70">
        <v>15</v>
      </c>
      <c r="N132" s="70"/>
      <c r="O132" s="70"/>
      <c r="P132" s="70">
        <v>13</v>
      </c>
      <c r="Q132" s="70"/>
      <c r="R132" s="70"/>
      <c r="S132" s="70"/>
      <c r="T132" s="70">
        <v>80</v>
      </c>
      <c r="U132" s="70"/>
      <c r="V132" s="70">
        <v>25</v>
      </c>
      <c r="W132" s="70"/>
      <c r="X132" s="70"/>
      <c r="Y132" s="70"/>
      <c r="Z132" s="70"/>
      <c r="AA132" s="70"/>
      <c r="AB132" s="70">
        <f>SUM(E132:AA132)</f>
        <v>210</v>
      </c>
      <c r="AC132" s="70">
        <f>AD132-AB132</f>
        <v>565</v>
      </c>
      <c r="AD132" s="70">
        <f>210+565</f>
        <v>775</v>
      </c>
      <c r="AE132" s="69">
        <f>(AB132/AD132)</f>
        <v>0.2709677419354839</v>
      </c>
      <c r="AF132" s="68" t="s">
        <v>71</v>
      </c>
    </row>
    <row r="133" spans="1:32" s="67" customFormat="1" ht="30" customHeight="1" x14ac:dyDescent="0.25">
      <c r="A133" s="71">
        <v>46148</v>
      </c>
      <c r="B133" s="70" t="s">
        <v>1</v>
      </c>
      <c r="C133" s="70" t="s">
        <v>75</v>
      </c>
      <c r="D133" s="70">
        <v>21</v>
      </c>
      <c r="E133" s="70">
        <v>170</v>
      </c>
      <c r="F133" s="70">
        <v>26</v>
      </c>
      <c r="G133" s="70">
        <v>10</v>
      </c>
      <c r="H133" s="70">
        <v>4</v>
      </c>
      <c r="I133" s="70">
        <v>19</v>
      </c>
      <c r="J133" s="70">
        <v>5</v>
      </c>
      <c r="K133" s="70"/>
      <c r="L133" s="70"/>
      <c r="M133" s="70">
        <v>27</v>
      </c>
      <c r="N133" s="70"/>
      <c r="O133" s="70"/>
      <c r="P133" s="70">
        <v>52</v>
      </c>
      <c r="Q133" s="70">
        <v>29</v>
      </c>
      <c r="R133" s="70"/>
      <c r="S133" s="70"/>
      <c r="T133" s="70"/>
      <c r="U133" s="70"/>
      <c r="V133" s="70">
        <v>113</v>
      </c>
      <c r="W133" s="70"/>
      <c r="X133" s="70"/>
      <c r="Y133" s="70">
        <v>10</v>
      </c>
      <c r="Z133" s="70"/>
      <c r="AA133" s="70"/>
      <c r="AB133" s="70">
        <f>SUM(E133:AA133)</f>
        <v>465</v>
      </c>
      <c r="AC133" s="70">
        <f>AD133-AB133</f>
        <v>770</v>
      </c>
      <c r="AD133" s="70">
        <f>465+770</f>
        <v>1235</v>
      </c>
      <c r="AE133" s="69">
        <f>(AB133/AD133)</f>
        <v>0.37651821862348178</v>
      </c>
      <c r="AF133" s="68" t="s">
        <v>71</v>
      </c>
    </row>
    <row r="134" spans="1:32" s="67" customFormat="1" ht="30" customHeight="1" x14ac:dyDescent="0.25">
      <c r="A134" s="71">
        <v>46148</v>
      </c>
      <c r="B134" s="70" t="s">
        <v>1</v>
      </c>
      <c r="C134" s="70" t="s">
        <v>8</v>
      </c>
      <c r="D134" s="70">
        <v>22</v>
      </c>
      <c r="E134" s="70">
        <v>76</v>
      </c>
      <c r="F134" s="70">
        <v>5</v>
      </c>
      <c r="G134" s="70">
        <v>27</v>
      </c>
      <c r="H134" s="70">
        <v>47</v>
      </c>
      <c r="I134" s="70"/>
      <c r="J134" s="70">
        <v>20</v>
      </c>
      <c r="K134" s="70"/>
      <c r="L134" s="70">
        <v>9</v>
      </c>
      <c r="M134" s="70">
        <v>125</v>
      </c>
      <c r="N134" s="70"/>
      <c r="O134" s="70">
        <v>19</v>
      </c>
      <c r="P134" s="70">
        <v>38</v>
      </c>
      <c r="Q134" s="70"/>
      <c r="R134" s="70"/>
      <c r="S134" s="70"/>
      <c r="T134" s="70">
        <v>25</v>
      </c>
      <c r="U134" s="70"/>
      <c r="V134" s="70">
        <f>6</f>
        <v>6</v>
      </c>
      <c r="W134" s="70"/>
      <c r="X134" s="70"/>
      <c r="Y134" s="70"/>
      <c r="Z134" s="70"/>
      <c r="AA134" s="70"/>
      <c r="AB134" s="70">
        <f>SUM(E134:AA134)</f>
        <v>397</v>
      </c>
      <c r="AC134" s="70">
        <f>AD134-AB134</f>
        <v>704</v>
      </c>
      <c r="AD134" s="70">
        <f>397+704</f>
        <v>1101</v>
      </c>
      <c r="AE134" s="69">
        <f>(AB134/AD134)</f>
        <v>0.36058128973660308</v>
      </c>
      <c r="AF134" s="68" t="s">
        <v>71</v>
      </c>
    </row>
    <row r="135" spans="1:32" s="67" customFormat="1" ht="30" customHeight="1" x14ac:dyDescent="0.25">
      <c r="A135" s="71">
        <v>46148</v>
      </c>
      <c r="B135" s="70" t="s">
        <v>1</v>
      </c>
      <c r="C135" s="70" t="s">
        <v>10</v>
      </c>
      <c r="D135" s="70">
        <v>23</v>
      </c>
      <c r="E135" s="70">
        <v>172</v>
      </c>
      <c r="F135" s="70">
        <v>20</v>
      </c>
      <c r="G135" s="70"/>
      <c r="H135" s="70"/>
      <c r="I135" s="70"/>
      <c r="J135" s="70"/>
      <c r="K135" s="70"/>
      <c r="L135" s="70"/>
      <c r="M135" s="70">
        <v>60</v>
      </c>
      <c r="N135" s="70"/>
      <c r="O135" s="70"/>
      <c r="P135" s="70">
        <v>23</v>
      </c>
      <c r="Q135" s="70"/>
      <c r="R135" s="70"/>
      <c r="S135" s="70"/>
      <c r="T135" s="70">
        <v>5</v>
      </c>
      <c r="U135" s="70">
        <v>65</v>
      </c>
      <c r="V135" s="70">
        <f>17+43+45+10</f>
        <v>115</v>
      </c>
      <c r="W135" s="70"/>
      <c r="X135" s="70"/>
      <c r="Y135" s="70"/>
      <c r="Z135" s="70"/>
      <c r="AA135" s="70">
        <v>5</v>
      </c>
      <c r="AB135" s="70">
        <f>SUM(E135:AA135)</f>
        <v>465</v>
      </c>
      <c r="AC135" s="70">
        <f>AD135-AB135</f>
        <v>756</v>
      </c>
      <c r="AD135" s="70">
        <f>465+756</f>
        <v>1221</v>
      </c>
      <c r="AE135" s="69">
        <f>(AB135/AD135)</f>
        <v>0.38083538083538082</v>
      </c>
      <c r="AF135" s="68" t="s">
        <v>71</v>
      </c>
    </row>
    <row r="136" spans="1:32" s="67" customFormat="1" ht="30" customHeight="1" x14ac:dyDescent="0.25">
      <c r="A136" s="71">
        <v>46148</v>
      </c>
      <c r="B136" s="70" t="s">
        <v>1</v>
      </c>
      <c r="C136" s="70" t="s">
        <v>6</v>
      </c>
      <c r="D136" s="70">
        <v>24</v>
      </c>
      <c r="E136" s="70">
        <v>71</v>
      </c>
      <c r="F136" s="70"/>
      <c r="G136" s="70"/>
      <c r="H136" s="70">
        <v>8</v>
      </c>
      <c r="I136" s="70">
        <v>5</v>
      </c>
      <c r="J136" s="70"/>
      <c r="K136" s="70">
        <v>2</v>
      </c>
      <c r="L136" s="70"/>
      <c r="M136" s="70">
        <v>46</v>
      </c>
      <c r="N136" s="70"/>
      <c r="O136" s="70"/>
      <c r="P136" s="70">
        <v>7</v>
      </c>
      <c r="Q136" s="70"/>
      <c r="R136" s="70"/>
      <c r="S136" s="70"/>
      <c r="T136" s="70"/>
      <c r="U136" s="70"/>
      <c r="V136" s="70">
        <f>5+3+3</f>
        <v>11</v>
      </c>
      <c r="W136" s="70"/>
      <c r="X136" s="70"/>
      <c r="Y136" s="70"/>
      <c r="Z136" s="70"/>
      <c r="AA136" s="70"/>
      <c r="AB136" s="70">
        <f>SUM(E136:AA136)</f>
        <v>150</v>
      </c>
      <c r="AC136" s="70">
        <f>AD136-AB136</f>
        <v>1000</v>
      </c>
      <c r="AD136" s="70">
        <f>150+1000</f>
        <v>1150</v>
      </c>
      <c r="AE136" s="69">
        <f>(AB136/AD136)</f>
        <v>0.13043478260869565</v>
      </c>
      <c r="AF136" s="68" t="s">
        <v>71</v>
      </c>
    </row>
    <row r="137" spans="1:32" s="67" customFormat="1" ht="30" customHeight="1" x14ac:dyDescent="0.25">
      <c r="A137" s="71">
        <v>46148</v>
      </c>
      <c r="B137" s="70" t="s">
        <v>5</v>
      </c>
      <c r="C137" s="70" t="s">
        <v>4</v>
      </c>
      <c r="D137" s="70">
        <v>25</v>
      </c>
      <c r="E137" s="70">
        <v>291</v>
      </c>
      <c r="F137" s="70"/>
      <c r="G137" s="70"/>
      <c r="H137" s="70">
        <v>135</v>
      </c>
      <c r="I137" s="70">
        <v>15</v>
      </c>
      <c r="J137" s="70"/>
      <c r="K137" s="70">
        <v>60</v>
      </c>
      <c r="L137" s="70"/>
      <c r="M137" s="70">
        <v>155</v>
      </c>
      <c r="N137" s="70"/>
      <c r="O137" s="70"/>
      <c r="P137" s="70"/>
      <c r="Q137" s="70"/>
      <c r="R137" s="70"/>
      <c r="S137" s="70"/>
      <c r="T137" s="70"/>
      <c r="U137" s="70"/>
      <c r="V137" s="70">
        <f>15+15</f>
        <v>30</v>
      </c>
      <c r="W137" s="70"/>
      <c r="X137" s="70"/>
      <c r="Y137" s="70"/>
      <c r="Z137" s="70"/>
      <c r="AA137" s="70"/>
      <c r="AB137" s="70">
        <f>SUM(E137:AA137)</f>
        <v>686</v>
      </c>
      <c r="AC137" s="70">
        <f>AD137-AB137</f>
        <v>1694</v>
      </c>
      <c r="AD137" s="70">
        <f>686+1694</f>
        <v>2380</v>
      </c>
      <c r="AE137" s="69">
        <f>(AB137/AD137)</f>
        <v>0.28823529411764703</v>
      </c>
      <c r="AF137" s="68" t="s">
        <v>74</v>
      </c>
    </row>
    <row r="138" spans="1:32" s="67" customFormat="1" ht="30" customHeight="1" x14ac:dyDescent="0.25">
      <c r="A138" s="71">
        <v>46148</v>
      </c>
      <c r="B138" s="70" t="s">
        <v>73</v>
      </c>
      <c r="C138" s="70" t="s">
        <v>22</v>
      </c>
      <c r="D138" s="70">
        <v>26</v>
      </c>
      <c r="E138" s="70">
        <f>15+10+15+18</f>
        <v>58</v>
      </c>
      <c r="F138" s="70">
        <f>15+20+35+30+25</f>
        <v>125</v>
      </c>
      <c r="G138" s="70">
        <f>1+2</f>
        <v>3</v>
      </c>
      <c r="H138" s="70"/>
      <c r="I138" s="70"/>
      <c r="J138" s="70"/>
      <c r="K138" s="70"/>
      <c r="L138" s="70"/>
      <c r="M138" s="70">
        <f>70+10+40+25+10</f>
        <v>155</v>
      </c>
      <c r="N138" s="70"/>
      <c r="O138" s="70"/>
      <c r="P138" s="70"/>
      <c r="Q138" s="70"/>
      <c r="R138" s="70"/>
      <c r="S138" s="70"/>
      <c r="T138" s="70">
        <f>5+15+10</f>
        <v>30</v>
      </c>
      <c r="U138" s="70"/>
      <c r="V138" s="70">
        <f>5+5+15</f>
        <v>25</v>
      </c>
      <c r="W138" s="70"/>
      <c r="X138" s="70"/>
      <c r="Y138" s="70"/>
      <c r="Z138" s="70"/>
      <c r="AA138" s="70"/>
      <c r="AB138" s="70">
        <f>SUM(E138:AA138)</f>
        <v>396</v>
      </c>
      <c r="AC138" s="70">
        <f>AD138-AB138</f>
        <v>456</v>
      </c>
      <c r="AD138" s="70">
        <f>396+456</f>
        <v>852</v>
      </c>
      <c r="AE138" s="69">
        <f>(AB138/AD138)</f>
        <v>0.46478873239436619</v>
      </c>
      <c r="AF138" s="68" t="s">
        <v>71</v>
      </c>
    </row>
    <row r="139" spans="1:32" s="67" customFormat="1" ht="30" customHeight="1" x14ac:dyDescent="0.25">
      <c r="A139" s="71">
        <v>46148</v>
      </c>
      <c r="B139" s="70" t="s">
        <v>78</v>
      </c>
      <c r="C139" s="70" t="s">
        <v>85</v>
      </c>
      <c r="D139" s="70">
        <v>27</v>
      </c>
      <c r="E139" s="70">
        <v>220</v>
      </c>
      <c r="F139" s="70"/>
      <c r="G139" s="70">
        <v>12</v>
      </c>
      <c r="H139" s="70">
        <v>20</v>
      </c>
      <c r="I139" s="70"/>
      <c r="J139" s="70"/>
      <c r="K139" s="70">
        <v>10</v>
      </c>
      <c r="L139" s="70"/>
      <c r="M139" s="70">
        <v>39</v>
      </c>
      <c r="N139" s="70"/>
      <c r="O139" s="70"/>
      <c r="P139" s="70">
        <v>80</v>
      </c>
      <c r="Q139" s="70">
        <v>10</v>
      </c>
      <c r="R139" s="70"/>
      <c r="S139" s="70">
        <v>13</v>
      </c>
      <c r="T139" s="70">
        <v>35</v>
      </c>
      <c r="U139" s="70"/>
      <c r="V139" s="70">
        <f>20+25</f>
        <v>45</v>
      </c>
      <c r="W139" s="70"/>
      <c r="X139" s="70"/>
      <c r="Y139" s="70"/>
      <c r="Z139" s="70"/>
      <c r="AA139" s="70"/>
      <c r="AB139" s="70">
        <f>SUM(E139:AA139)</f>
        <v>484</v>
      </c>
      <c r="AC139" s="70">
        <f>AD139-AB139</f>
        <v>826</v>
      </c>
      <c r="AD139" s="70">
        <f>484+826</f>
        <v>1310</v>
      </c>
      <c r="AE139" s="69">
        <f>(AB139/AD139)</f>
        <v>0.36946564885496186</v>
      </c>
      <c r="AF139" s="68" t="s">
        <v>71</v>
      </c>
    </row>
    <row r="140" spans="1:32" s="67" customFormat="1" ht="30" customHeight="1" x14ac:dyDescent="0.25">
      <c r="A140" s="71">
        <v>46148</v>
      </c>
      <c r="B140" s="70" t="s">
        <v>1</v>
      </c>
      <c r="C140" s="70" t="s">
        <v>0</v>
      </c>
      <c r="D140" s="70">
        <v>28</v>
      </c>
      <c r="E140" s="70"/>
      <c r="F140" s="70">
        <v>31</v>
      </c>
      <c r="G140" s="70">
        <v>40</v>
      </c>
      <c r="H140" s="70">
        <v>16</v>
      </c>
      <c r="I140" s="70"/>
      <c r="J140" s="70"/>
      <c r="K140" s="70"/>
      <c r="L140" s="70"/>
      <c r="M140" s="70">
        <v>19</v>
      </c>
      <c r="N140" s="70"/>
      <c r="O140" s="70"/>
      <c r="P140" s="70">
        <v>16</v>
      </c>
      <c r="Q140" s="70"/>
      <c r="R140" s="70"/>
      <c r="S140" s="70"/>
      <c r="T140" s="70"/>
      <c r="U140" s="70"/>
      <c r="V140" s="70">
        <f>8+3</f>
        <v>11</v>
      </c>
      <c r="W140" s="70"/>
      <c r="X140" s="70"/>
      <c r="Y140" s="70"/>
      <c r="Z140" s="70"/>
      <c r="AA140" s="70"/>
      <c r="AB140" s="70">
        <f>SUM(E140:AA140)</f>
        <v>133</v>
      </c>
      <c r="AC140" s="70">
        <f>AD140-AB140</f>
        <v>464</v>
      </c>
      <c r="AD140" s="70">
        <f>133+464</f>
        <v>597</v>
      </c>
      <c r="AE140" s="69">
        <f>(AB140/AD140)</f>
        <v>0.22278056951423786</v>
      </c>
      <c r="AF140" s="68" t="s">
        <v>71</v>
      </c>
    </row>
    <row r="141" spans="1:32" s="72" customFormat="1" ht="30" customHeight="1" x14ac:dyDescent="0.25">
      <c r="A141" s="76">
        <v>46149</v>
      </c>
      <c r="B141" s="75" t="s">
        <v>1</v>
      </c>
      <c r="C141" s="75" t="s">
        <v>26</v>
      </c>
      <c r="D141" s="75">
        <v>1</v>
      </c>
      <c r="E141" s="75">
        <v>32</v>
      </c>
      <c r="F141" s="75">
        <v>32</v>
      </c>
      <c r="G141" s="75"/>
      <c r="H141" s="75"/>
      <c r="I141" s="75"/>
      <c r="J141" s="75"/>
      <c r="K141" s="75">
        <v>9</v>
      </c>
      <c r="L141" s="75"/>
      <c r="M141" s="75">
        <v>23</v>
      </c>
      <c r="N141" s="75"/>
      <c r="O141" s="75"/>
      <c r="P141" s="75">
        <v>12</v>
      </c>
      <c r="Q141" s="75"/>
      <c r="R141" s="75"/>
      <c r="S141" s="75"/>
      <c r="T141" s="75">
        <v>47</v>
      </c>
      <c r="U141" s="75"/>
      <c r="V141" s="75">
        <v>15</v>
      </c>
      <c r="W141" s="75"/>
      <c r="X141" s="75"/>
      <c r="Y141" s="75"/>
      <c r="Z141" s="75"/>
      <c r="AA141" s="75"/>
      <c r="AB141" s="75">
        <f>SUM(E141:AA141)</f>
        <v>170</v>
      </c>
      <c r="AC141" s="75">
        <f>AD141-AB141</f>
        <v>320</v>
      </c>
      <c r="AD141" s="75">
        <f>170+320</f>
        <v>490</v>
      </c>
      <c r="AE141" s="74">
        <f>(AB141/AD141)</f>
        <v>0.34693877551020408</v>
      </c>
      <c r="AF141" s="73" t="s">
        <v>71</v>
      </c>
    </row>
    <row r="142" spans="1:32" s="67" customFormat="1" ht="30" customHeight="1" x14ac:dyDescent="0.25">
      <c r="A142" s="71">
        <v>46149</v>
      </c>
      <c r="B142" s="70" t="s">
        <v>78</v>
      </c>
      <c r="C142" s="70" t="s">
        <v>84</v>
      </c>
      <c r="D142" s="70">
        <v>2</v>
      </c>
      <c r="E142" s="70">
        <v>132</v>
      </c>
      <c r="F142" s="70">
        <v>14</v>
      </c>
      <c r="G142" s="70">
        <v>7</v>
      </c>
      <c r="H142" s="70"/>
      <c r="I142" s="70">
        <v>26</v>
      </c>
      <c r="J142" s="70"/>
      <c r="K142" s="70"/>
      <c r="L142" s="70"/>
      <c r="M142" s="70">
        <v>19</v>
      </c>
      <c r="N142" s="70"/>
      <c r="O142" s="70">
        <v>10</v>
      </c>
      <c r="P142" s="70">
        <v>8</v>
      </c>
      <c r="Q142" s="70"/>
      <c r="R142" s="70">
        <v>28</v>
      </c>
      <c r="S142" s="70"/>
      <c r="T142" s="70">
        <v>19</v>
      </c>
      <c r="U142" s="70"/>
      <c r="V142" s="70">
        <f>17+20</f>
        <v>37</v>
      </c>
      <c r="W142" s="70"/>
      <c r="X142" s="70"/>
      <c r="Y142" s="70"/>
      <c r="Z142" s="70"/>
      <c r="AA142" s="70"/>
      <c r="AB142" s="70">
        <f>SUM(E142:AA142)</f>
        <v>300</v>
      </c>
      <c r="AC142" s="70">
        <f>AD142-AB142</f>
        <v>510</v>
      </c>
      <c r="AD142" s="70">
        <f>300+510</f>
        <v>810</v>
      </c>
      <c r="AE142" s="69">
        <f>(AB142/AD142)</f>
        <v>0.37037037037037035</v>
      </c>
      <c r="AF142" s="68" t="s">
        <v>71</v>
      </c>
    </row>
    <row r="143" spans="1:32" s="67" customFormat="1" ht="30" customHeight="1" x14ac:dyDescent="0.25">
      <c r="A143" s="71">
        <v>46149</v>
      </c>
      <c r="B143" s="70" t="s">
        <v>1</v>
      </c>
      <c r="C143" s="70" t="s">
        <v>9</v>
      </c>
      <c r="D143" s="70">
        <v>3</v>
      </c>
      <c r="E143" s="70">
        <v>15</v>
      </c>
      <c r="F143" s="70">
        <v>25</v>
      </c>
      <c r="G143" s="70">
        <v>7</v>
      </c>
      <c r="H143" s="70">
        <v>11</v>
      </c>
      <c r="I143" s="70">
        <v>12</v>
      </c>
      <c r="J143" s="70"/>
      <c r="K143" s="70">
        <v>12</v>
      </c>
      <c r="L143" s="70"/>
      <c r="M143" s="70">
        <v>50</v>
      </c>
      <c r="N143" s="70"/>
      <c r="O143" s="70"/>
      <c r="P143" s="70">
        <v>18</v>
      </c>
      <c r="Q143" s="70"/>
      <c r="R143" s="70"/>
      <c r="S143" s="70">
        <v>5</v>
      </c>
      <c r="T143" s="70">
        <v>12</v>
      </c>
      <c r="U143" s="70"/>
      <c r="V143" s="70">
        <f>22+16+8</f>
        <v>46</v>
      </c>
      <c r="W143" s="70"/>
      <c r="X143" s="70"/>
      <c r="Y143" s="70"/>
      <c r="Z143" s="70"/>
      <c r="AA143" s="70"/>
      <c r="AB143" s="70">
        <f>SUM(E143:AA143)</f>
        <v>213</v>
      </c>
      <c r="AC143" s="70">
        <f>AD143-AB143</f>
        <v>560</v>
      </c>
      <c r="AD143" s="70">
        <f>213+560</f>
        <v>773</v>
      </c>
      <c r="AE143" s="69">
        <f>(AB143/AD143)</f>
        <v>0.27554980595084089</v>
      </c>
      <c r="AF143" s="68" t="s">
        <v>71</v>
      </c>
    </row>
    <row r="144" spans="1:32" s="67" customFormat="1" ht="30" customHeight="1" x14ac:dyDescent="0.25">
      <c r="A144" s="71">
        <v>46149</v>
      </c>
      <c r="B144" s="70" t="s">
        <v>1</v>
      </c>
      <c r="C144" s="70" t="s">
        <v>16</v>
      </c>
      <c r="D144" s="70">
        <v>4</v>
      </c>
      <c r="E144" s="70">
        <v>205</v>
      </c>
      <c r="F144" s="70">
        <v>22</v>
      </c>
      <c r="G144" s="70"/>
      <c r="H144" s="70"/>
      <c r="I144" s="70"/>
      <c r="J144" s="70"/>
      <c r="K144" s="70"/>
      <c r="L144" s="70"/>
      <c r="M144" s="70">
        <v>181</v>
      </c>
      <c r="N144" s="70">
        <v>20</v>
      </c>
      <c r="O144" s="70"/>
      <c r="P144" s="70">
        <v>58</v>
      </c>
      <c r="Q144" s="70"/>
      <c r="R144" s="70">
        <v>105</v>
      </c>
      <c r="S144" s="70"/>
      <c r="T144" s="70">
        <v>30</v>
      </c>
      <c r="U144" s="70"/>
      <c r="V144" s="70">
        <f>114+24+15</f>
        <v>153</v>
      </c>
      <c r="W144" s="70"/>
      <c r="X144" s="70"/>
      <c r="Y144" s="70">
        <v>5</v>
      </c>
      <c r="Z144" s="70"/>
      <c r="AA144" s="70">
        <v>26</v>
      </c>
      <c r="AB144" s="70">
        <f>SUM(E144:AA144)</f>
        <v>805</v>
      </c>
      <c r="AC144" s="70">
        <f>AD144-AB144</f>
        <v>1600</v>
      </c>
      <c r="AD144" s="70">
        <f>805+1600</f>
        <v>2405</v>
      </c>
      <c r="AE144" s="69">
        <f>(AB144/AD144)</f>
        <v>0.33471933471933474</v>
      </c>
      <c r="AF144" s="68" t="s">
        <v>71</v>
      </c>
    </row>
    <row r="145" spans="1:32" s="67" customFormat="1" ht="30" customHeight="1" x14ac:dyDescent="0.25">
      <c r="A145" s="71">
        <v>46149</v>
      </c>
      <c r="B145" s="70" t="s">
        <v>1</v>
      </c>
      <c r="C145" s="70" t="s">
        <v>16</v>
      </c>
      <c r="D145" s="70">
        <v>5</v>
      </c>
      <c r="E145" s="70">
        <v>200</v>
      </c>
      <c r="F145" s="70">
        <v>148</v>
      </c>
      <c r="G145" s="70">
        <v>35</v>
      </c>
      <c r="H145" s="70">
        <v>15</v>
      </c>
      <c r="I145" s="70">
        <v>35</v>
      </c>
      <c r="J145" s="70"/>
      <c r="K145" s="70"/>
      <c r="L145" s="70"/>
      <c r="M145" s="70">
        <v>368</v>
      </c>
      <c r="N145" s="70"/>
      <c r="O145" s="70"/>
      <c r="P145" s="70">
        <v>186</v>
      </c>
      <c r="Q145" s="70"/>
      <c r="R145" s="70">
        <v>76</v>
      </c>
      <c r="S145" s="70"/>
      <c r="T145" s="70"/>
      <c r="U145" s="70"/>
      <c r="V145" s="70">
        <v>244</v>
      </c>
      <c r="W145" s="70"/>
      <c r="X145" s="70"/>
      <c r="Y145" s="70"/>
      <c r="Z145" s="70"/>
      <c r="AA145" s="70"/>
      <c r="AB145" s="70">
        <f>SUM(E145:AA145)</f>
        <v>1307</v>
      </c>
      <c r="AC145" s="70">
        <f>AD145-AB145</f>
        <v>1600</v>
      </c>
      <c r="AD145" s="70">
        <f>1307+1600</f>
        <v>2907</v>
      </c>
      <c r="AE145" s="69">
        <f>(AB145/AD145)</f>
        <v>0.44960440316477468</v>
      </c>
      <c r="AF145" s="68" t="s">
        <v>71</v>
      </c>
    </row>
    <row r="146" spans="1:32" s="67" customFormat="1" ht="30" customHeight="1" x14ac:dyDescent="0.25">
      <c r="A146" s="71">
        <v>46149</v>
      </c>
      <c r="B146" s="70" t="s">
        <v>1</v>
      </c>
      <c r="C146" s="70" t="s">
        <v>15</v>
      </c>
      <c r="D146" s="70">
        <v>6</v>
      </c>
      <c r="E146" s="70">
        <v>179</v>
      </c>
      <c r="F146" s="70">
        <v>64</v>
      </c>
      <c r="G146" s="70">
        <v>33</v>
      </c>
      <c r="H146" s="70">
        <v>125</v>
      </c>
      <c r="I146" s="70"/>
      <c r="J146" s="70">
        <v>5</v>
      </c>
      <c r="K146" s="70">
        <v>25</v>
      </c>
      <c r="L146" s="70"/>
      <c r="M146" s="70">
        <v>41</v>
      </c>
      <c r="N146" s="70">
        <v>10</v>
      </c>
      <c r="O146" s="70"/>
      <c r="P146" s="70">
        <v>163</v>
      </c>
      <c r="Q146" s="70"/>
      <c r="R146" s="70">
        <v>62</v>
      </c>
      <c r="S146" s="70">
        <v>5</v>
      </c>
      <c r="T146" s="70">
        <v>33</v>
      </c>
      <c r="U146" s="70"/>
      <c r="V146" s="70">
        <f>5+75+5+5+5+15</f>
        <v>110</v>
      </c>
      <c r="W146" s="70"/>
      <c r="X146" s="70"/>
      <c r="Y146" s="70">
        <v>18</v>
      </c>
      <c r="Z146" s="70"/>
      <c r="AA146" s="70"/>
      <c r="AB146" s="70">
        <f>SUM(E146:AA146)</f>
        <v>873</v>
      </c>
      <c r="AC146" s="70">
        <f>AD146-AB146</f>
        <v>1120</v>
      </c>
      <c r="AD146" s="70">
        <f>873+1120</f>
        <v>1993</v>
      </c>
      <c r="AE146" s="69">
        <f>(AB146/AD146)</f>
        <v>0.43803311590566985</v>
      </c>
      <c r="AF146" s="68" t="s">
        <v>71</v>
      </c>
    </row>
    <row r="147" spans="1:32" s="67" customFormat="1" ht="30" customHeight="1" x14ac:dyDescent="0.25">
      <c r="A147" s="71">
        <v>46149</v>
      </c>
      <c r="B147" s="70" t="s">
        <v>1</v>
      </c>
      <c r="C147" s="70" t="s">
        <v>14</v>
      </c>
      <c r="D147" s="70">
        <v>7</v>
      </c>
      <c r="E147" s="70">
        <v>65</v>
      </c>
      <c r="F147" s="70">
        <v>16</v>
      </c>
      <c r="G147" s="70">
        <v>30</v>
      </c>
      <c r="H147" s="70">
        <v>30</v>
      </c>
      <c r="I147" s="70"/>
      <c r="J147" s="70"/>
      <c r="K147" s="70"/>
      <c r="L147" s="70">
        <v>25</v>
      </c>
      <c r="M147" s="70">
        <v>15</v>
      </c>
      <c r="N147" s="70">
        <v>16</v>
      </c>
      <c r="O147" s="70"/>
      <c r="P147" s="70">
        <v>55</v>
      </c>
      <c r="Q147" s="70">
        <v>10</v>
      </c>
      <c r="R147" s="70">
        <v>10</v>
      </c>
      <c r="S147" s="70">
        <v>21</v>
      </c>
      <c r="T147" s="70"/>
      <c r="U147" s="70"/>
      <c r="V147" s="70">
        <f>15+5</f>
        <v>20</v>
      </c>
      <c r="W147" s="70"/>
      <c r="X147" s="70"/>
      <c r="Y147" s="70"/>
      <c r="Z147" s="70"/>
      <c r="AA147" s="70"/>
      <c r="AB147" s="70">
        <f>SUM(E147:AA147)</f>
        <v>313</v>
      </c>
      <c r="AC147" s="70">
        <f>AD147-AB147</f>
        <v>560</v>
      </c>
      <c r="AD147" s="70">
        <f>313+560</f>
        <v>873</v>
      </c>
      <c r="AE147" s="69">
        <f>(AB147/AD147)</f>
        <v>0.35853379152348225</v>
      </c>
      <c r="AF147" s="68" t="s">
        <v>71</v>
      </c>
    </row>
    <row r="148" spans="1:32" s="67" customFormat="1" ht="30" customHeight="1" x14ac:dyDescent="0.25">
      <c r="A148" s="71">
        <v>46149</v>
      </c>
      <c r="B148" s="70" t="s">
        <v>73</v>
      </c>
      <c r="C148" s="70" t="s">
        <v>83</v>
      </c>
      <c r="D148" s="70">
        <v>8</v>
      </c>
      <c r="E148" s="70">
        <v>101</v>
      </c>
      <c r="F148" s="70">
        <v>50</v>
      </c>
      <c r="G148" s="70">
        <v>29</v>
      </c>
      <c r="H148" s="70">
        <v>92</v>
      </c>
      <c r="I148" s="70"/>
      <c r="J148" s="70"/>
      <c r="K148" s="70"/>
      <c r="L148" s="70"/>
      <c r="M148" s="70">
        <v>41</v>
      </c>
      <c r="N148" s="70">
        <v>5</v>
      </c>
      <c r="O148" s="70">
        <v>13</v>
      </c>
      <c r="P148" s="70">
        <v>106</v>
      </c>
      <c r="Q148" s="70">
        <v>25</v>
      </c>
      <c r="R148" s="70"/>
      <c r="S148" s="70"/>
      <c r="T148" s="70">
        <v>35</v>
      </c>
      <c r="U148" s="70"/>
      <c r="V148" s="70">
        <f>125+10</f>
        <v>135</v>
      </c>
      <c r="W148" s="70"/>
      <c r="X148" s="70"/>
      <c r="Y148" s="70"/>
      <c r="Z148" s="70"/>
      <c r="AA148" s="70"/>
      <c r="AB148" s="70">
        <f>SUM(E148:AA148)</f>
        <v>632</v>
      </c>
      <c r="AC148" s="70">
        <f>AD148-AB148</f>
        <v>938</v>
      </c>
      <c r="AD148" s="70">
        <f>632+938</f>
        <v>1570</v>
      </c>
      <c r="AE148" s="69">
        <f>(AB148/AD148)</f>
        <v>0.40254777070063696</v>
      </c>
      <c r="AF148" s="68" t="s">
        <v>71</v>
      </c>
    </row>
    <row r="149" spans="1:32" s="67" customFormat="1" ht="30" customHeight="1" x14ac:dyDescent="0.25">
      <c r="A149" s="71">
        <v>46149</v>
      </c>
      <c r="B149" s="70" t="s">
        <v>1</v>
      </c>
      <c r="C149" s="70" t="s">
        <v>12</v>
      </c>
      <c r="D149" s="70">
        <v>9</v>
      </c>
      <c r="E149" s="70">
        <v>172</v>
      </c>
      <c r="F149" s="70">
        <v>25</v>
      </c>
      <c r="G149" s="70">
        <v>36</v>
      </c>
      <c r="H149" s="70">
        <v>63</v>
      </c>
      <c r="I149" s="70">
        <v>31</v>
      </c>
      <c r="J149" s="70">
        <v>55</v>
      </c>
      <c r="K149" s="70"/>
      <c r="L149" s="70"/>
      <c r="M149" s="70">
        <v>111</v>
      </c>
      <c r="N149" s="70"/>
      <c r="O149" s="70"/>
      <c r="P149" s="70">
        <v>45</v>
      </c>
      <c r="Q149" s="70"/>
      <c r="R149" s="70"/>
      <c r="S149" s="70"/>
      <c r="T149" s="70">
        <v>8</v>
      </c>
      <c r="U149" s="70"/>
      <c r="V149" s="70">
        <f>84+22</f>
        <v>106</v>
      </c>
      <c r="W149" s="70"/>
      <c r="X149" s="70"/>
      <c r="Y149" s="70">
        <v>75</v>
      </c>
      <c r="Z149" s="70"/>
      <c r="AA149" s="70"/>
      <c r="AB149" s="70">
        <f>SUM(E149:AA149)</f>
        <v>727</v>
      </c>
      <c r="AC149" s="70">
        <f>AD149-AB149</f>
        <v>1694</v>
      </c>
      <c r="AD149" s="70">
        <f>727+1694</f>
        <v>2421</v>
      </c>
      <c r="AE149" s="69">
        <f>(AB149/AD149)</f>
        <v>0.3002891367203635</v>
      </c>
      <c r="AF149" s="68" t="s">
        <v>71</v>
      </c>
    </row>
    <row r="150" spans="1:32" s="67" customFormat="1" ht="30" customHeight="1" x14ac:dyDescent="0.25">
      <c r="A150" s="71">
        <v>46149</v>
      </c>
      <c r="B150" s="70" t="s">
        <v>1</v>
      </c>
      <c r="C150" s="70" t="s">
        <v>0</v>
      </c>
      <c r="D150" s="70">
        <v>10</v>
      </c>
      <c r="E150" s="70">
        <v>19</v>
      </c>
      <c r="F150" s="70">
        <v>7</v>
      </c>
      <c r="G150" s="70">
        <v>31</v>
      </c>
      <c r="H150" s="70"/>
      <c r="I150" s="70"/>
      <c r="J150" s="70">
        <v>10</v>
      </c>
      <c r="K150" s="70"/>
      <c r="L150" s="70">
        <v>14</v>
      </c>
      <c r="M150" s="70">
        <v>11</v>
      </c>
      <c r="N150" s="70"/>
      <c r="O150" s="70">
        <v>3</v>
      </c>
      <c r="P150" s="70">
        <v>4</v>
      </c>
      <c r="Q150" s="70"/>
      <c r="R150" s="70"/>
      <c r="S150" s="70"/>
      <c r="T150" s="70"/>
      <c r="U150" s="70"/>
      <c r="V150" s="70">
        <f>51+76</f>
        <v>127</v>
      </c>
      <c r="W150" s="70"/>
      <c r="X150" s="70"/>
      <c r="Y150" s="70"/>
      <c r="Z150" s="70"/>
      <c r="AA150" s="70"/>
      <c r="AB150" s="70">
        <f>SUM(E150:AA150)</f>
        <v>226</v>
      </c>
      <c r="AC150" s="70">
        <f>AD150-AB150</f>
        <v>464</v>
      </c>
      <c r="AD150" s="70">
        <f>226+464</f>
        <v>690</v>
      </c>
      <c r="AE150" s="69">
        <f>(AB150/AD150)</f>
        <v>0.32753623188405795</v>
      </c>
      <c r="AF150" s="68" t="s">
        <v>71</v>
      </c>
    </row>
    <row r="151" spans="1:32" s="67" customFormat="1" ht="30" customHeight="1" x14ac:dyDescent="0.25">
      <c r="A151" s="71">
        <v>46149</v>
      </c>
      <c r="B151" s="70" t="s">
        <v>1</v>
      </c>
      <c r="C151" s="70" t="s">
        <v>10</v>
      </c>
      <c r="D151" s="70">
        <v>11</v>
      </c>
      <c r="E151" s="70">
        <f>23+16+10+25+15</f>
        <v>89</v>
      </c>
      <c r="F151" s="70">
        <f>27+22</f>
        <v>49</v>
      </c>
      <c r="G151" s="70">
        <f>6</f>
        <v>6</v>
      </c>
      <c r="H151" s="70"/>
      <c r="I151" s="70"/>
      <c r="J151" s="70">
        <f>5</f>
        <v>5</v>
      </c>
      <c r="K151" s="70"/>
      <c r="L151" s="70"/>
      <c r="M151" s="70">
        <f>2+15</f>
        <v>17</v>
      </c>
      <c r="N151" s="70">
        <f>7</f>
        <v>7</v>
      </c>
      <c r="O151" s="70"/>
      <c r="P151" s="70">
        <f>13+18+4+8</f>
        <v>43</v>
      </c>
      <c r="Q151" s="70"/>
      <c r="R151" s="70"/>
      <c r="S151" s="70">
        <f>5</f>
        <v>5</v>
      </c>
      <c r="T151" s="70">
        <f>8+11</f>
        <v>19</v>
      </c>
      <c r="U151" s="70"/>
      <c r="V151" s="70">
        <f>5+16+5+9+7+5+10+8+9+6</f>
        <v>80</v>
      </c>
      <c r="W151" s="70"/>
      <c r="X151" s="70"/>
      <c r="Y151" s="70"/>
      <c r="Z151" s="70"/>
      <c r="AA151" s="70">
        <v>30</v>
      </c>
      <c r="AB151" s="70">
        <f>SUM(E151:AA151)</f>
        <v>350</v>
      </c>
      <c r="AC151" s="70">
        <f>AD151-AB151</f>
        <v>880</v>
      </c>
      <c r="AD151" s="70">
        <f>350+880</f>
        <v>1230</v>
      </c>
      <c r="AE151" s="69">
        <f>(AB151/AD151)</f>
        <v>0.28455284552845528</v>
      </c>
      <c r="AF151" s="68" t="s">
        <v>71</v>
      </c>
    </row>
    <row r="152" spans="1:32" s="67" customFormat="1" ht="30" customHeight="1" x14ac:dyDescent="0.25">
      <c r="A152" s="71">
        <v>46149</v>
      </c>
      <c r="B152" s="70" t="s">
        <v>78</v>
      </c>
      <c r="C152" s="70" t="s">
        <v>18</v>
      </c>
      <c r="D152" s="70">
        <v>13</v>
      </c>
      <c r="E152" s="70">
        <v>62</v>
      </c>
      <c r="F152" s="70">
        <v>5</v>
      </c>
      <c r="G152" s="70">
        <v>102</v>
      </c>
      <c r="H152" s="70">
        <v>55</v>
      </c>
      <c r="I152" s="70">
        <v>20</v>
      </c>
      <c r="J152" s="70"/>
      <c r="K152" s="70"/>
      <c r="L152" s="70"/>
      <c r="M152" s="70">
        <v>53</v>
      </c>
      <c r="N152" s="70"/>
      <c r="O152" s="70">
        <v>7</v>
      </c>
      <c r="P152" s="70">
        <v>87</v>
      </c>
      <c r="Q152" s="70"/>
      <c r="R152" s="70"/>
      <c r="S152" s="70"/>
      <c r="T152" s="70">
        <v>23</v>
      </c>
      <c r="U152" s="70"/>
      <c r="V152" s="70">
        <f>98+10+5+3</f>
        <v>116</v>
      </c>
      <c r="W152" s="70"/>
      <c r="X152" s="70"/>
      <c r="Y152" s="70"/>
      <c r="Z152" s="70"/>
      <c r="AA152" s="70"/>
      <c r="AB152" s="70">
        <f>SUM(E152:AA152)</f>
        <v>530</v>
      </c>
      <c r="AC152" s="70">
        <f>AD152-AB152</f>
        <v>1260</v>
      </c>
      <c r="AD152" s="70">
        <f>530+1260</f>
        <v>1790</v>
      </c>
      <c r="AE152" s="69">
        <f>(AB152/AD152)</f>
        <v>0.29608938547486036</v>
      </c>
      <c r="AF152" s="68" t="s">
        <v>71</v>
      </c>
    </row>
    <row r="153" spans="1:32" s="67" customFormat="1" ht="30" customHeight="1" x14ac:dyDescent="0.25">
      <c r="A153" s="71">
        <v>46149</v>
      </c>
      <c r="B153" s="70" t="s">
        <v>1</v>
      </c>
      <c r="C153" s="70" t="s">
        <v>8</v>
      </c>
      <c r="D153" s="70">
        <v>14</v>
      </c>
      <c r="E153" s="70">
        <v>30</v>
      </c>
      <c r="F153" s="70">
        <v>18</v>
      </c>
      <c r="G153" s="70">
        <v>3</v>
      </c>
      <c r="H153" s="70"/>
      <c r="I153" s="70"/>
      <c r="J153" s="70"/>
      <c r="K153" s="70">
        <v>11</v>
      </c>
      <c r="L153" s="70">
        <v>11</v>
      </c>
      <c r="M153" s="70">
        <v>69</v>
      </c>
      <c r="N153" s="70"/>
      <c r="O153" s="70">
        <v>16</v>
      </c>
      <c r="P153" s="70">
        <v>17</v>
      </c>
      <c r="Q153" s="70"/>
      <c r="R153" s="70"/>
      <c r="S153" s="70"/>
      <c r="T153" s="70">
        <v>11</v>
      </c>
      <c r="U153" s="70"/>
      <c r="V153" s="70">
        <f>7+11</f>
        <v>18</v>
      </c>
      <c r="W153" s="70"/>
      <c r="X153" s="70"/>
      <c r="Y153" s="70"/>
      <c r="Z153" s="70"/>
      <c r="AA153" s="70">
        <f>8+10</f>
        <v>18</v>
      </c>
      <c r="AB153" s="70">
        <f>SUM(E153:AA153)</f>
        <v>222</v>
      </c>
      <c r="AC153" s="70">
        <f>AD153-AB153</f>
        <v>672</v>
      </c>
      <c r="AD153" s="70">
        <f>222+672</f>
        <v>894</v>
      </c>
      <c r="AE153" s="69">
        <f>(AB153/AD153)</f>
        <v>0.24832214765100671</v>
      </c>
      <c r="AF153" s="68" t="s">
        <v>71</v>
      </c>
    </row>
    <row r="154" spans="1:32" s="67" customFormat="1" ht="30" customHeight="1" x14ac:dyDescent="0.25">
      <c r="A154" s="71">
        <v>46149</v>
      </c>
      <c r="B154" s="70" t="s">
        <v>73</v>
      </c>
      <c r="C154" s="70" t="s">
        <v>7</v>
      </c>
      <c r="D154" s="70">
        <v>15</v>
      </c>
      <c r="E154" s="70">
        <v>8</v>
      </c>
      <c r="F154" s="70">
        <v>28</v>
      </c>
      <c r="G154" s="70"/>
      <c r="H154" s="70"/>
      <c r="I154" s="70"/>
      <c r="J154" s="70"/>
      <c r="K154" s="70">
        <v>20</v>
      </c>
      <c r="L154" s="70">
        <v>5</v>
      </c>
      <c r="M154" s="70">
        <v>50</v>
      </c>
      <c r="N154" s="70"/>
      <c r="O154" s="70"/>
      <c r="P154" s="70">
        <v>3</v>
      </c>
      <c r="Q154" s="70"/>
      <c r="R154" s="70"/>
      <c r="S154" s="70"/>
      <c r="T154" s="70">
        <v>9</v>
      </c>
      <c r="U154" s="70"/>
      <c r="V154" s="70">
        <f>3+14</f>
        <v>17</v>
      </c>
      <c r="W154" s="70"/>
      <c r="X154" s="70"/>
      <c r="Y154" s="70"/>
      <c r="Z154" s="70"/>
      <c r="AA154" s="70"/>
      <c r="AB154" s="70">
        <f>SUM(E154:AA154)</f>
        <v>140</v>
      </c>
      <c r="AC154" s="70">
        <f>AD154-AB154</f>
        <v>196</v>
      </c>
      <c r="AD154" s="70">
        <f>140+196</f>
        <v>336</v>
      </c>
      <c r="AE154" s="69">
        <f>(AB154/AD154)</f>
        <v>0.41666666666666669</v>
      </c>
      <c r="AF154" s="68" t="s">
        <v>71</v>
      </c>
    </row>
    <row r="155" spans="1:32" s="67" customFormat="1" ht="30" customHeight="1" x14ac:dyDescent="0.25">
      <c r="A155" s="71">
        <v>46149</v>
      </c>
      <c r="B155" s="70" t="s">
        <v>1</v>
      </c>
      <c r="C155" s="70" t="s">
        <v>10</v>
      </c>
      <c r="D155" s="70">
        <v>16</v>
      </c>
      <c r="E155" s="70">
        <v>107</v>
      </c>
      <c r="F155" s="70">
        <v>41</v>
      </c>
      <c r="G155" s="70">
        <v>24</v>
      </c>
      <c r="H155" s="70">
        <v>42</v>
      </c>
      <c r="I155" s="70"/>
      <c r="J155" s="70"/>
      <c r="K155" s="70"/>
      <c r="L155" s="70"/>
      <c r="M155" s="70">
        <v>75</v>
      </c>
      <c r="N155" s="70"/>
      <c r="O155" s="70">
        <v>10</v>
      </c>
      <c r="P155" s="70">
        <v>79</v>
      </c>
      <c r="Q155" s="70"/>
      <c r="R155" s="70"/>
      <c r="S155" s="70"/>
      <c r="T155" s="70">
        <v>34</v>
      </c>
      <c r="U155" s="70"/>
      <c r="V155" s="70">
        <f>20+6</f>
        <v>26</v>
      </c>
      <c r="W155" s="70"/>
      <c r="X155" s="70"/>
      <c r="Y155" s="70"/>
      <c r="Z155" s="70"/>
      <c r="AA155" s="70">
        <f>6+8</f>
        <v>14</v>
      </c>
      <c r="AB155" s="70">
        <f>SUM(E155:AA155)</f>
        <v>452</v>
      </c>
      <c r="AC155" s="70">
        <f>AD155-AB155</f>
        <v>880</v>
      </c>
      <c r="AD155" s="70">
        <f>452+880</f>
        <v>1332</v>
      </c>
      <c r="AE155" s="69">
        <f>(AB155/AD155)</f>
        <v>0.33933933933933935</v>
      </c>
      <c r="AF155" s="68" t="s">
        <v>71</v>
      </c>
    </row>
    <row r="156" spans="1:32" s="67" customFormat="1" ht="30" customHeight="1" x14ac:dyDescent="0.25">
      <c r="A156" s="71">
        <v>46149</v>
      </c>
      <c r="B156" s="70" t="s">
        <v>73</v>
      </c>
      <c r="C156" s="70" t="s">
        <v>12</v>
      </c>
      <c r="D156" s="70">
        <v>17</v>
      </c>
      <c r="E156" s="70">
        <v>153</v>
      </c>
      <c r="F156" s="70">
        <v>13</v>
      </c>
      <c r="G156" s="70"/>
      <c r="H156" s="70"/>
      <c r="I156" s="70">
        <v>25</v>
      </c>
      <c r="J156" s="70"/>
      <c r="K156" s="70"/>
      <c r="L156" s="70">
        <v>11</v>
      </c>
      <c r="M156" s="70"/>
      <c r="N156" s="70"/>
      <c r="O156" s="70"/>
      <c r="P156" s="70">
        <v>20</v>
      </c>
      <c r="Q156" s="70"/>
      <c r="R156" s="70"/>
      <c r="S156" s="70"/>
      <c r="T156" s="70"/>
      <c r="U156" s="70"/>
      <c r="V156" s="70">
        <v>100</v>
      </c>
      <c r="W156" s="70"/>
      <c r="X156" s="70"/>
      <c r="Y156" s="70"/>
      <c r="Z156" s="70"/>
      <c r="AA156" s="70"/>
      <c r="AB156" s="70">
        <f>SUM(E156:AA156)</f>
        <v>322</v>
      </c>
      <c r="AC156" s="70">
        <f>AD156-AB156</f>
        <v>1696</v>
      </c>
      <c r="AD156" s="70">
        <f>322+1696</f>
        <v>2018</v>
      </c>
      <c r="AE156" s="69">
        <f>(AB156/AD156)</f>
        <v>0.1595639246778989</v>
      </c>
      <c r="AF156" s="68" t="s">
        <v>71</v>
      </c>
    </row>
    <row r="157" spans="1:32" s="67" customFormat="1" ht="30" customHeight="1" x14ac:dyDescent="0.25">
      <c r="A157" s="71">
        <v>46149</v>
      </c>
      <c r="B157" s="70" t="s">
        <v>1</v>
      </c>
      <c r="C157" s="70" t="s">
        <v>6</v>
      </c>
      <c r="D157" s="70">
        <v>18</v>
      </c>
      <c r="E157" s="70">
        <v>59</v>
      </c>
      <c r="F157" s="70">
        <v>43</v>
      </c>
      <c r="G157" s="70"/>
      <c r="H157" s="70">
        <v>27</v>
      </c>
      <c r="I157" s="70"/>
      <c r="J157" s="70"/>
      <c r="K157" s="70">
        <f>10+12</f>
        <v>22</v>
      </c>
      <c r="L157" s="70"/>
      <c r="M157" s="70">
        <f>14+8+16+6+14+7</f>
        <v>65</v>
      </c>
      <c r="N157" s="70"/>
      <c r="O157" s="70">
        <v>8</v>
      </c>
      <c r="P157" s="70">
        <v>22</v>
      </c>
      <c r="Q157" s="70"/>
      <c r="R157" s="70"/>
      <c r="S157" s="70">
        <v>14</v>
      </c>
      <c r="T157" s="70">
        <v>19</v>
      </c>
      <c r="U157" s="70"/>
      <c r="V157" s="70">
        <f>31+17</f>
        <v>48</v>
      </c>
      <c r="W157" s="70"/>
      <c r="X157" s="70"/>
      <c r="Y157" s="70"/>
      <c r="Z157" s="70"/>
      <c r="AA157" s="70"/>
      <c r="AB157" s="70">
        <f>SUM(E157:AA157)</f>
        <v>327</v>
      </c>
      <c r="AC157" s="70">
        <f>AD157-AB157</f>
        <v>960</v>
      </c>
      <c r="AD157" s="70">
        <f>327+960</f>
        <v>1287</v>
      </c>
      <c r="AE157" s="69">
        <f>(AB157/AD157)</f>
        <v>0.25407925407925408</v>
      </c>
      <c r="AF157" s="68" t="s">
        <v>71</v>
      </c>
    </row>
    <row r="158" spans="1:32" s="67" customFormat="1" ht="30" customHeight="1" x14ac:dyDescent="0.25">
      <c r="A158" s="71">
        <v>46149</v>
      </c>
      <c r="B158" s="70" t="s">
        <v>1</v>
      </c>
      <c r="C158" s="70" t="s">
        <v>2</v>
      </c>
      <c r="D158" s="70">
        <v>19</v>
      </c>
      <c r="E158" s="70">
        <v>32</v>
      </c>
      <c r="F158" s="70">
        <v>9</v>
      </c>
      <c r="G158" s="70">
        <v>23</v>
      </c>
      <c r="H158" s="70">
        <v>11</v>
      </c>
      <c r="I158" s="70"/>
      <c r="J158" s="70"/>
      <c r="K158" s="70"/>
      <c r="L158" s="70"/>
      <c r="M158" s="70">
        <v>10</v>
      </c>
      <c r="N158" s="70"/>
      <c r="O158" s="70"/>
      <c r="P158" s="70">
        <v>14</v>
      </c>
      <c r="Q158" s="70"/>
      <c r="R158" s="70"/>
      <c r="S158" s="70"/>
      <c r="T158" s="70">
        <v>39</v>
      </c>
      <c r="U158" s="70"/>
      <c r="V158" s="70">
        <f>15+28+3</f>
        <v>46</v>
      </c>
      <c r="W158" s="70">
        <v>21</v>
      </c>
      <c r="X158" s="70"/>
      <c r="Y158" s="70"/>
      <c r="Z158" s="70"/>
      <c r="AA158" s="70"/>
      <c r="AB158" s="70">
        <f>SUM(E158:AA158)</f>
        <v>205</v>
      </c>
      <c r="AC158" s="70">
        <f>AD158-AB158</f>
        <v>672</v>
      </c>
      <c r="AD158" s="70">
        <f>205+672</f>
        <v>877</v>
      </c>
      <c r="AE158" s="69">
        <f>(AB158/AD158)</f>
        <v>0.23375142531356899</v>
      </c>
      <c r="AF158" s="68" t="s">
        <v>71</v>
      </c>
    </row>
    <row r="159" spans="1:32" s="67" customFormat="1" ht="30" customHeight="1" x14ac:dyDescent="0.25">
      <c r="A159" s="71">
        <v>46149</v>
      </c>
      <c r="B159" s="70" t="s">
        <v>1</v>
      </c>
      <c r="C159" s="70" t="s">
        <v>9</v>
      </c>
      <c r="D159" s="70">
        <v>20</v>
      </c>
      <c r="E159" s="70">
        <v>55</v>
      </c>
      <c r="F159" s="70">
        <v>4</v>
      </c>
      <c r="G159" s="70"/>
      <c r="H159" s="70">
        <v>5</v>
      </c>
      <c r="I159" s="70"/>
      <c r="J159" s="70"/>
      <c r="K159" s="70">
        <v>23</v>
      </c>
      <c r="L159" s="70"/>
      <c r="M159" s="70">
        <v>10</v>
      </c>
      <c r="N159" s="70"/>
      <c r="O159" s="70"/>
      <c r="P159" s="70">
        <v>35</v>
      </c>
      <c r="Q159" s="70"/>
      <c r="R159" s="70"/>
      <c r="S159" s="70"/>
      <c r="T159" s="70">
        <v>85</v>
      </c>
      <c r="U159" s="70"/>
      <c r="V159" s="70">
        <v>23</v>
      </c>
      <c r="W159" s="70"/>
      <c r="X159" s="70"/>
      <c r="Y159" s="70"/>
      <c r="Z159" s="70"/>
      <c r="AA159" s="70"/>
      <c r="AB159" s="70">
        <f>SUM(E159:AA159)</f>
        <v>240</v>
      </c>
      <c r="AC159" s="70">
        <f>AD159-AB159</f>
        <v>656</v>
      </c>
      <c r="AD159" s="70">
        <f>240+656</f>
        <v>896</v>
      </c>
      <c r="AE159" s="69">
        <f>(AB159/AD159)</f>
        <v>0.26785714285714285</v>
      </c>
      <c r="AF159" s="68" t="s">
        <v>71</v>
      </c>
    </row>
    <row r="160" spans="1:32" s="67" customFormat="1" ht="30" customHeight="1" x14ac:dyDescent="0.25">
      <c r="A160" s="71">
        <v>46149</v>
      </c>
      <c r="B160" s="70" t="s">
        <v>1</v>
      </c>
      <c r="C160" s="70" t="s">
        <v>75</v>
      </c>
      <c r="D160" s="70">
        <v>21</v>
      </c>
      <c r="E160" s="70">
        <f>90+23+60+25+10</f>
        <v>208</v>
      </c>
      <c r="F160" s="70">
        <f>12</f>
        <v>12</v>
      </c>
      <c r="G160" s="70">
        <f>2</f>
        <v>2</v>
      </c>
      <c r="H160" s="70">
        <f>5</f>
        <v>5</v>
      </c>
      <c r="I160" s="70"/>
      <c r="J160" s="70">
        <f>7+10</f>
        <v>17</v>
      </c>
      <c r="K160" s="70"/>
      <c r="L160" s="70"/>
      <c r="M160" s="70">
        <f>10+10+6+9</f>
        <v>35</v>
      </c>
      <c r="N160" s="70">
        <v>10</v>
      </c>
      <c r="O160" s="70"/>
      <c r="P160" s="70">
        <f>38+4</f>
        <v>42</v>
      </c>
      <c r="Q160" s="70">
        <v>22</v>
      </c>
      <c r="R160" s="70"/>
      <c r="S160" s="70"/>
      <c r="T160" s="70">
        <f>5</f>
        <v>5</v>
      </c>
      <c r="U160" s="70"/>
      <c r="V160" s="70">
        <f>55+8+10+11+9</f>
        <v>93</v>
      </c>
      <c r="W160" s="70"/>
      <c r="X160" s="70"/>
      <c r="Y160" s="70">
        <f>19+29</f>
        <v>48</v>
      </c>
      <c r="Z160" s="70"/>
      <c r="AA160" s="70"/>
      <c r="AB160" s="70">
        <f>SUM(E160:AA160)</f>
        <v>499</v>
      </c>
      <c r="AC160" s="70">
        <f>AD160-AB160</f>
        <v>805</v>
      </c>
      <c r="AD160" s="70">
        <f>499+805</f>
        <v>1304</v>
      </c>
      <c r="AE160" s="69">
        <f>(AB160/AD160)</f>
        <v>0.38266871165644173</v>
      </c>
      <c r="AF160" s="68" t="s">
        <v>71</v>
      </c>
    </row>
    <row r="161" spans="1:32" s="67" customFormat="1" ht="30" customHeight="1" x14ac:dyDescent="0.25">
      <c r="A161" s="71">
        <v>46149</v>
      </c>
      <c r="B161" s="70" t="s">
        <v>1</v>
      </c>
      <c r="C161" s="70" t="s">
        <v>8</v>
      </c>
      <c r="D161" s="70">
        <v>22</v>
      </c>
      <c r="E161" s="70">
        <f>10+10+15+45</f>
        <v>80</v>
      </c>
      <c r="F161" s="70"/>
      <c r="G161" s="70">
        <f>34</f>
        <v>34</v>
      </c>
      <c r="H161" s="70">
        <f>39+6+4+15</f>
        <v>64</v>
      </c>
      <c r="I161" s="70"/>
      <c r="J161" s="70">
        <f>38</f>
        <v>38</v>
      </c>
      <c r="K161" s="70"/>
      <c r="L161" s="70">
        <f>3+4+9</f>
        <v>16</v>
      </c>
      <c r="M161" s="70">
        <f>29+23+49+5+19+8</f>
        <v>133</v>
      </c>
      <c r="N161" s="70"/>
      <c r="O161" s="70"/>
      <c r="P161" s="70">
        <f>19+5</f>
        <v>24</v>
      </c>
      <c r="Q161" s="70"/>
      <c r="R161" s="70"/>
      <c r="S161" s="70"/>
      <c r="T161" s="70">
        <f>3</f>
        <v>3</v>
      </c>
      <c r="U161" s="70"/>
      <c r="V161" s="70">
        <f>6+5</f>
        <v>11</v>
      </c>
      <c r="W161" s="70"/>
      <c r="X161" s="70"/>
      <c r="Y161" s="70"/>
      <c r="Z161" s="70"/>
      <c r="AA161" s="70"/>
      <c r="AB161" s="70">
        <f>SUM(E161:AA161)</f>
        <v>403</v>
      </c>
      <c r="AC161" s="70">
        <f>AD161-AB161</f>
        <v>720</v>
      </c>
      <c r="AD161" s="70">
        <f>403+720</f>
        <v>1123</v>
      </c>
      <c r="AE161" s="69">
        <f>(AB161/AD161)</f>
        <v>0.358860195903829</v>
      </c>
      <c r="AF161" s="68" t="s">
        <v>71</v>
      </c>
    </row>
    <row r="162" spans="1:32" s="67" customFormat="1" ht="30" customHeight="1" x14ac:dyDescent="0.25">
      <c r="A162" s="71">
        <v>46149</v>
      </c>
      <c r="B162" s="70" t="s">
        <v>1</v>
      </c>
      <c r="C162" s="70" t="s">
        <v>10</v>
      </c>
      <c r="D162" s="70">
        <v>23</v>
      </c>
      <c r="E162" s="70">
        <f>45+20+23+71+23</f>
        <v>182</v>
      </c>
      <c r="F162" s="70">
        <v>7</v>
      </c>
      <c r="G162" s="70">
        <f>6+17</f>
        <v>23</v>
      </c>
      <c r="H162" s="70"/>
      <c r="I162" s="70"/>
      <c r="J162" s="70"/>
      <c r="K162" s="70"/>
      <c r="L162" s="70"/>
      <c r="M162" s="70">
        <f>29+30</f>
        <v>59</v>
      </c>
      <c r="N162" s="70"/>
      <c r="O162" s="70"/>
      <c r="P162" s="70">
        <v>51</v>
      </c>
      <c r="Q162" s="70"/>
      <c r="R162" s="70"/>
      <c r="S162" s="70"/>
      <c r="T162" s="70"/>
      <c r="U162" s="70">
        <v>48</v>
      </c>
      <c r="V162" s="70">
        <f>10+12+8+45</f>
        <v>75</v>
      </c>
      <c r="W162" s="70"/>
      <c r="X162" s="70"/>
      <c r="Y162" s="70"/>
      <c r="Z162" s="70"/>
      <c r="AA162" s="70">
        <v>17</v>
      </c>
      <c r="AB162" s="70">
        <f>SUM(E162:AA162)</f>
        <v>462</v>
      </c>
      <c r="AC162" s="70">
        <f>AD162-AB162</f>
        <v>756</v>
      </c>
      <c r="AD162" s="70">
        <f>462+756</f>
        <v>1218</v>
      </c>
      <c r="AE162" s="69">
        <f>(AB162/AD162)</f>
        <v>0.37931034482758619</v>
      </c>
      <c r="AF162" s="68" t="s">
        <v>71</v>
      </c>
    </row>
    <row r="163" spans="1:32" s="67" customFormat="1" ht="30" customHeight="1" x14ac:dyDescent="0.25">
      <c r="A163" s="71">
        <v>46149</v>
      </c>
      <c r="B163" s="70" t="s">
        <v>1</v>
      </c>
      <c r="C163" s="70" t="s">
        <v>6</v>
      </c>
      <c r="D163" s="70">
        <v>24</v>
      </c>
      <c r="E163" s="70">
        <f>15+10+20+7</f>
        <v>52</v>
      </c>
      <c r="F163" s="70">
        <v>5</v>
      </c>
      <c r="G163" s="70"/>
      <c r="H163" s="70">
        <f>5</f>
        <v>5</v>
      </c>
      <c r="I163" s="70"/>
      <c r="J163" s="70"/>
      <c r="K163" s="70">
        <f>3</f>
        <v>3</v>
      </c>
      <c r="L163" s="70">
        <f>8</f>
        <v>8</v>
      </c>
      <c r="M163" s="70">
        <f>12+5+5</f>
        <v>22</v>
      </c>
      <c r="N163" s="70"/>
      <c r="O163" s="70"/>
      <c r="P163" s="70">
        <f>5+5</f>
        <v>10</v>
      </c>
      <c r="Q163" s="70"/>
      <c r="R163" s="70"/>
      <c r="S163" s="70"/>
      <c r="T163" s="70">
        <v>5</v>
      </c>
      <c r="U163" s="70"/>
      <c r="V163" s="70">
        <f>10+13+2+10</f>
        <v>35</v>
      </c>
      <c r="W163" s="70"/>
      <c r="X163" s="70"/>
      <c r="Y163" s="70"/>
      <c r="Z163" s="70"/>
      <c r="AA163" s="70"/>
      <c r="AB163" s="70">
        <f>SUM(E163:AA163)</f>
        <v>145</v>
      </c>
      <c r="AC163" s="70">
        <f>AD163-AB163</f>
        <v>1000</v>
      </c>
      <c r="AD163" s="70">
        <f>145+1000</f>
        <v>1145</v>
      </c>
      <c r="AE163" s="69">
        <f>(AB163/AD163)</f>
        <v>0.12663755458515283</v>
      </c>
      <c r="AF163" s="68" t="s">
        <v>71</v>
      </c>
    </row>
    <row r="164" spans="1:32" s="67" customFormat="1" ht="30" customHeight="1" x14ac:dyDescent="0.25">
      <c r="A164" s="71">
        <v>46149</v>
      </c>
      <c r="B164" s="70" t="s">
        <v>5</v>
      </c>
      <c r="C164" s="70" t="s">
        <v>4</v>
      </c>
      <c r="D164" s="70">
        <v>25</v>
      </c>
      <c r="E164" s="70">
        <f>100+55+50+20+40+50+20+25</f>
        <v>360</v>
      </c>
      <c r="F164" s="70">
        <f>10</f>
        <v>10</v>
      </c>
      <c r="G164" s="70"/>
      <c r="H164" s="70">
        <f>70+35+20+15+10</f>
        <v>150</v>
      </c>
      <c r="I164" s="70"/>
      <c r="J164" s="70"/>
      <c r="K164" s="70">
        <f>10</f>
        <v>10</v>
      </c>
      <c r="L164" s="70"/>
      <c r="M164" s="70">
        <f>30+60</f>
        <v>90</v>
      </c>
      <c r="N164" s="70"/>
      <c r="O164" s="70"/>
      <c r="P164" s="70"/>
      <c r="Q164" s="70"/>
      <c r="R164" s="70"/>
      <c r="S164" s="70">
        <v>15</v>
      </c>
      <c r="T164" s="70"/>
      <c r="U164" s="70"/>
      <c r="V164" s="70">
        <f>20+35</f>
        <v>55</v>
      </c>
      <c r="W164" s="70"/>
      <c r="X164" s="70"/>
      <c r="Y164" s="70"/>
      <c r="Z164" s="70"/>
      <c r="AA164" s="70"/>
      <c r="AB164" s="70">
        <f>SUM(E164:AA164)</f>
        <v>690</v>
      </c>
      <c r="AC164" s="70">
        <f>AD164-AB164</f>
        <v>1708</v>
      </c>
      <c r="AD164" s="70">
        <f>690+1708</f>
        <v>2398</v>
      </c>
      <c r="AE164" s="69">
        <f>(AB164/AD164)</f>
        <v>0.28773978315262722</v>
      </c>
      <c r="AF164" s="68" t="s">
        <v>74</v>
      </c>
    </row>
    <row r="165" spans="1:32" s="67" customFormat="1" ht="30" customHeight="1" x14ac:dyDescent="0.25">
      <c r="A165" s="71">
        <v>46149</v>
      </c>
      <c r="B165" s="70" t="s">
        <v>73</v>
      </c>
      <c r="C165" s="70" t="s">
        <v>22</v>
      </c>
      <c r="D165" s="70">
        <v>26</v>
      </c>
      <c r="E165" s="70">
        <v>65</v>
      </c>
      <c r="F165" s="70">
        <v>99</v>
      </c>
      <c r="G165" s="70">
        <v>1</v>
      </c>
      <c r="H165" s="70"/>
      <c r="I165" s="70"/>
      <c r="J165" s="70"/>
      <c r="K165" s="70"/>
      <c r="L165" s="70"/>
      <c r="M165" s="70">
        <v>140</v>
      </c>
      <c r="N165" s="70"/>
      <c r="O165" s="70"/>
      <c r="P165" s="70">
        <v>5</v>
      </c>
      <c r="Q165" s="70"/>
      <c r="R165" s="70"/>
      <c r="S165" s="70"/>
      <c r="T165" s="70">
        <v>55</v>
      </c>
      <c r="U165" s="70"/>
      <c r="V165" s="70">
        <f>20+10</f>
        <v>30</v>
      </c>
      <c r="W165" s="70"/>
      <c r="X165" s="70"/>
      <c r="Y165" s="70"/>
      <c r="Z165" s="70"/>
      <c r="AA165" s="70"/>
      <c r="AB165" s="70">
        <f>SUM(E165:AA165)</f>
        <v>395</v>
      </c>
      <c r="AC165" s="70">
        <f>AD165-AB165</f>
        <v>456</v>
      </c>
      <c r="AD165" s="70">
        <f>395+456</f>
        <v>851</v>
      </c>
      <c r="AE165" s="69">
        <f>(AB165/AD165)</f>
        <v>0.46415981198589895</v>
      </c>
      <c r="AF165" s="68" t="s">
        <v>71</v>
      </c>
    </row>
    <row r="166" spans="1:32" s="67" customFormat="1" ht="30" customHeight="1" x14ac:dyDescent="0.25">
      <c r="A166" s="71">
        <v>46149</v>
      </c>
      <c r="B166" s="70" t="s">
        <v>1</v>
      </c>
      <c r="C166" s="70" t="s">
        <v>2</v>
      </c>
      <c r="D166" s="70">
        <v>27</v>
      </c>
      <c r="E166" s="70">
        <v>63</v>
      </c>
      <c r="F166" s="70">
        <v>5</v>
      </c>
      <c r="G166" s="70">
        <v>8</v>
      </c>
      <c r="H166" s="70"/>
      <c r="I166" s="70"/>
      <c r="J166" s="70"/>
      <c r="K166" s="70"/>
      <c r="L166" s="70"/>
      <c r="M166" s="70">
        <v>15</v>
      </c>
      <c r="N166" s="70"/>
      <c r="O166" s="70"/>
      <c r="P166" s="70">
        <f>3+11+5+5</f>
        <v>24</v>
      </c>
      <c r="Q166" s="70"/>
      <c r="R166" s="70"/>
      <c r="S166" s="70">
        <v>11</v>
      </c>
      <c r="T166" s="70">
        <v>17</v>
      </c>
      <c r="U166" s="70"/>
      <c r="V166" s="70">
        <f>10+5+5</f>
        <v>20</v>
      </c>
      <c r="W166" s="70"/>
      <c r="X166" s="70"/>
      <c r="Y166" s="70"/>
      <c r="Z166" s="70"/>
      <c r="AA166" s="70"/>
      <c r="AB166" s="70">
        <f>SUM(E166:AA166)</f>
        <v>163</v>
      </c>
      <c r="AC166" s="70">
        <f>AD166-AB166</f>
        <v>210</v>
      </c>
      <c r="AD166" s="70">
        <f>163+210</f>
        <v>373</v>
      </c>
      <c r="AE166" s="69">
        <f>(AB166/AD166)</f>
        <v>0.43699731903485256</v>
      </c>
      <c r="AF166" s="68" t="s">
        <v>71</v>
      </c>
    </row>
    <row r="167" spans="1:32" s="67" customFormat="1" ht="30" customHeight="1" x14ac:dyDescent="0.25">
      <c r="A167" s="71">
        <v>46149</v>
      </c>
      <c r="B167" s="70" t="s">
        <v>1</v>
      </c>
      <c r="C167" s="70" t="s">
        <v>0</v>
      </c>
      <c r="D167" s="70">
        <v>28</v>
      </c>
      <c r="E167" s="70"/>
      <c r="F167" s="70">
        <f>4+11+4+5+5+3</f>
        <v>32</v>
      </c>
      <c r="G167" s="70">
        <f>6+5+10+2+5</f>
        <v>28</v>
      </c>
      <c r="H167" s="70">
        <f>7+4+3</f>
        <v>14</v>
      </c>
      <c r="I167" s="70">
        <v>10</v>
      </c>
      <c r="J167" s="70"/>
      <c r="K167" s="70"/>
      <c r="L167" s="70"/>
      <c r="M167" s="70">
        <f>2+12+6+5+5</f>
        <v>30</v>
      </c>
      <c r="N167" s="70"/>
      <c r="O167" s="70"/>
      <c r="P167" s="70">
        <f>7</f>
        <v>7</v>
      </c>
      <c r="Q167" s="70"/>
      <c r="R167" s="70"/>
      <c r="S167" s="70"/>
      <c r="T167" s="70"/>
      <c r="U167" s="70"/>
      <c r="V167" s="70">
        <f>4+3+5</f>
        <v>12</v>
      </c>
      <c r="W167" s="70"/>
      <c r="X167" s="70"/>
      <c r="Y167" s="70"/>
      <c r="Z167" s="70"/>
      <c r="AA167" s="70"/>
      <c r="AB167" s="70">
        <f>SUM(E167:AA167)</f>
        <v>133</v>
      </c>
      <c r="AC167" s="70">
        <f>AD167-AB167</f>
        <v>464</v>
      </c>
      <c r="AD167" s="70">
        <f>133+464</f>
        <v>597</v>
      </c>
      <c r="AE167" s="69">
        <f>(AB167/AD167)</f>
        <v>0.22278056951423786</v>
      </c>
      <c r="AF167" s="68" t="s">
        <v>71</v>
      </c>
    </row>
    <row r="168" spans="1:32" s="72" customFormat="1" ht="30" customHeight="1" x14ac:dyDescent="0.25">
      <c r="A168" s="76">
        <v>46150</v>
      </c>
      <c r="B168" s="75" t="s">
        <v>1</v>
      </c>
      <c r="C168" s="75" t="s">
        <v>3</v>
      </c>
      <c r="D168" s="75">
        <v>1</v>
      </c>
      <c r="E168" s="75">
        <v>5</v>
      </c>
      <c r="F168" s="75">
        <v>2</v>
      </c>
      <c r="G168" s="75">
        <v>1</v>
      </c>
      <c r="H168" s="75">
        <v>4</v>
      </c>
      <c r="I168" s="75"/>
      <c r="J168" s="75"/>
      <c r="K168" s="75">
        <v>4</v>
      </c>
      <c r="L168" s="75"/>
      <c r="M168" s="75">
        <v>5</v>
      </c>
      <c r="N168" s="75">
        <v>6</v>
      </c>
      <c r="O168" s="75"/>
      <c r="P168" s="75"/>
      <c r="Q168" s="75"/>
      <c r="R168" s="75"/>
      <c r="S168" s="75"/>
      <c r="T168" s="75">
        <v>6</v>
      </c>
      <c r="U168" s="75"/>
      <c r="V168" s="75"/>
      <c r="W168" s="75"/>
      <c r="X168" s="75"/>
      <c r="Y168" s="75"/>
      <c r="Z168" s="75"/>
      <c r="AA168" s="75"/>
      <c r="AB168" s="75">
        <f>SUM(E168:AA168)</f>
        <v>33</v>
      </c>
      <c r="AC168" s="75">
        <f>AD168-AB168</f>
        <v>42</v>
      </c>
      <c r="AD168" s="75">
        <f>33+42</f>
        <v>75</v>
      </c>
      <c r="AE168" s="74">
        <f>(AB168/AD168)</f>
        <v>0.44</v>
      </c>
      <c r="AF168" s="73" t="s">
        <v>71</v>
      </c>
    </row>
    <row r="169" spans="1:32" s="67" customFormat="1" ht="30" customHeight="1" x14ac:dyDescent="0.25">
      <c r="A169" s="71">
        <v>46150</v>
      </c>
      <c r="B169" s="70" t="s">
        <v>78</v>
      </c>
      <c r="C169" s="70" t="s">
        <v>80</v>
      </c>
      <c r="D169" s="70">
        <v>2</v>
      </c>
      <c r="E169" s="70">
        <v>137</v>
      </c>
      <c r="F169" s="70">
        <v>15</v>
      </c>
      <c r="G169" s="70">
        <v>25</v>
      </c>
      <c r="H169" s="70"/>
      <c r="I169" s="70">
        <v>31</v>
      </c>
      <c r="J169" s="70"/>
      <c r="K169" s="70">
        <v>14</v>
      </c>
      <c r="L169" s="70"/>
      <c r="M169" s="70">
        <v>29</v>
      </c>
      <c r="N169" s="70"/>
      <c r="O169" s="70">
        <v>17</v>
      </c>
      <c r="P169" s="70">
        <v>10</v>
      </c>
      <c r="Q169" s="70"/>
      <c r="R169" s="70">
        <v>6</v>
      </c>
      <c r="S169" s="70"/>
      <c r="T169" s="70">
        <v>15</v>
      </c>
      <c r="U169" s="70"/>
      <c r="V169" s="70">
        <f>76+25+10</f>
        <v>111</v>
      </c>
      <c r="W169" s="70"/>
      <c r="X169" s="70"/>
      <c r="Y169" s="70"/>
      <c r="Z169" s="70"/>
      <c r="AA169" s="70"/>
      <c r="AB169" s="70">
        <f>SUM(E169:AA169)</f>
        <v>410</v>
      </c>
      <c r="AC169" s="70">
        <f>AD169-AB169</f>
        <v>700</v>
      </c>
      <c r="AD169" s="70">
        <f>410+700</f>
        <v>1110</v>
      </c>
      <c r="AE169" s="69">
        <f>(AB169/AD169)</f>
        <v>0.36936936936936937</v>
      </c>
      <c r="AF169" s="68" t="s">
        <v>71</v>
      </c>
    </row>
    <row r="170" spans="1:32" s="67" customFormat="1" ht="30" customHeight="1" x14ac:dyDescent="0.25">
      <c r="A170" s="71">
        <v>46150</v>
      </c>
      <c r="B170" s="70" t="s">
        <v>1</v>
      </c>
      <c r="C170" s="70" t="s">
        <v>9</v>
      </c>
      <c r="D170" s="70">
        <v>3</v>
      </c>
      <c r="E170" s="70">
        <v>13</v>
      </c>
      <c r="F170" s="70">
        <v>16</v>
      </c>
      <c r="G170" s="70">
        <v>3</v>
      </c>
      <c r="H170" s="70">
        <v>10</v>
      </c>
      <c r="I170" s="70">
        <v>4</v>
      </c>
      <c r="J170" s="70"/>
      <c r="K170" s="70">
        <v>9</v>
      </c>
      <c r="L170" s="70"/>
      <c r="M170" s="70">
        <v>54</v>
      </c>
      <c r="N170" s="70"/>
      <c r="O170" s="70">
        <v>5</v>
      </c>
      <c r="P170" s="70">
        <v>28</v>
      </c>
      <c r="Q170" s="70"/>
      <c r="R170" s="70"/>
      <c r="S170" s="70"/>
      <c r="T170" s="70">
        <v>15</v>
      </c>
      <c r="U170" s="70"/>
      <c r="V170" s="70">
        <f>17+28+8</f>
        <v>53</v>
      </c>
      <c r="W170" s="70"/>
      <c r="X170" s="70"/>
      <c r="Y170" s="70"/>
      <c r="Z170" s="70"/>
      <c r="AA170" s="70"/>
      <c r="AB170" s="70">
        <f>SUM(E170:AA170)</f>
        <v>210</v>
      </c>
      <c r="AC170" s="70">
        <f>AD170-AB170</f>
        <v>560</v>
      </c>
      <c r="AD170" s="70">
        <f>210+560</f>
        <v>770</v>
      </c>
      <c r="AE170" s="69">
        <f>(AB170/AD170)</f>
        <v>0.27272727272727271</v>
      </c>
      <c r="AF170" s="68" t="s">
        <v>71</v>
      </c>
    </row>
    <row r="171" spans="1:32" s="67" customFormat="1" ht="30" customHeight="1" x14ac:dyDescent="0.25">
      <c r="A171" s="71">
        <v>46150</v>
      </c>
      <c r="B171" s="70" t="s">
        <v>1</v>
      </c>
      <c r="C171" s="70" t="s">
        <v>16</v>
      </c>
      <c r="D171" s="70">
        <v>4</v>
      </c>
      <c r="E171" s="70">
        <v>226</v>
      </c>
      <c r="F171" s="70">
        <v>32</v>
      </c>
      <c r="G171" s="70">
        <v>15</v>
      </c>
      <c r="H171" s="70"/>
      <c r="I171" s="70"/>
      <c r="J171" s="70"/>
      <c r="K171" s="70"/>
      <c r="L171" s="70"/>
      <c r="M171" s="70">
        <v>162</v>
      </c>
      <c r="N171" s="70">
        <v>22</v>
      </c>
      <c r="O171" s="70"/>
      <c r="P171" s="70">
        <v>80</v>
      </c>
      <c r="Q171" s="70"/>
      <c r="R171" s="70">
        <v>65</v>
      </c>
      <c r="S171" s="70">
        <v>5</v>
      </c>
      <c r="T171" s="70">
        <v>30</v>
      </c>
      <c r="U171" s="70"/>
      <c r="V171" s="70">
        <f>95+5+25</f>
        <v>125</v>
      </c>
      <c r="W171" s="70"/>
      <c r="X171" s="70"/>
      <c r="Y171" s="70"/>
      <c r="Z171" s="70"/>
      <c r="AA171" s="70">
        <v>48</v>
      </c>
      <c r="AB171" s="70">
        <f>SUM(E171:AA171)</f>
        <v>810</v>
      </c>
      <c r="AC171" s="70">
        <f>AD171-AB171</f>
        <v>1616</v>
      </c>
      <c r="AD171" s="70">
        <f>810+1616</f>
        <v>2426</v>
      </c>
      <c r="AE171" s="69">
        <f>(AB171/AD171)</f>
        <v>0.33388293487221765</v>
      </c>
      <c r="AF171" s="68" t="s">
        <v>71</v>
      </c>
    </row>
    <row r="172" spans="1:32" s="67" customFormat="1" ht="30" customHeight="1" x14ac:dyDescent="0.25">
      <c r="A172" s="71">
        <v>46150</v>
      </c>
      <c r="B172" s="70" t="s">
        <v>1</v>
      </c>
      <c r="C172" s="70" t="s">
        <v>16</v>
      </c>
      <c r="D172" s="70">
        <v>5</v>
      </c>
      <c r="E172" s="70">
        <v>191</v>
      </c>
      <c r="F172" s="70">
        <v>176</v>
      </c>
      <c r="G172" s="70">
        <v>28</v>
      </c>
      <c r="H172" s="70">
        <v>10</v>
      </c>
      <c r="I172" s="70">
        <v>15</v>
      </c>
      <c r="J172" s="70"/>
      <c r="K172" s="70"/>
      <c r="L172" s="70"/>
      <c r="M172" s="70">
        <v>286</v>
      </c>
      <c r="N172" s="70"/>
      <c r="O172" s="70"/>
      <c r="P172" s="70">
        <v>227</v>
      </c>
      <c r="Q172" s="70"/>
      <c r="R172" s="70"/>
      <c r="S172" s="70">
        <v>99</v>
      </c>
      <c r="T172" s="70"/>
      <c r="U172" s="70"/>
      <c r="V172" s="70">
        <v>268</v>
      </c>
      <c r="W172" s="70"/>
      <c r="X172" s="70"/>
      <c r="Y172" s="70"/>
      <c r="Z172" s="70"/>
      <c r="AA172" s="70"/>
      <c r="AB172" s="70">
        <f>SUM(E172:AA172)</f>
        <v>1300</v>
      </c>
      <c r="AC172" s="70">
        <f>AD172-AB172</f>
        <v>1600</v>
      </c>
      <c r="AD172" s="70">
        <f>1300+1600</f>
        <v>2900</v>
      </c>
      <c r="AE172" s="69">
        <f>(AB172/AD172)</f>
        <v>0.44827586206896552</v>
      </c>
      <c r="AF172" s="68" t="s">
        <v>71</v>
      </c>
    </row>
    <row r="173" spans="1:32" s="67" customFormat="1" ht="30" customHeight="1" x14ac:dyDescent="0.25">
      <c r="A173" s="71">
        <v>46150</v>
      </c>
      <c r="B173" s="70" t="s">
        <v>1</v>
      </c>
      <c r="C173" s="70" t="s">
        <v>15</v>
      </c>
      <c r="D173" s="70">
        <v>6</v>
      </c>
      <c r="E173" s="70">
        <f>35+5+38+20+5+20+5+9+21+40</f>
        <v>198</v>
      </c>
      <c r="F173" s="70">
        <f>5+15+5+15</f>
        <v>40</v>
      </c>
      <c r="G173" s="70">
        <f>5+5+17</f>
        <v>27</v>
      </c>
      <c r="H173" s="70">
        <f>40+43+33+5</f>
        <v>121</v>
      </c>
      <c r="I173" s="70"/>
      <c r="J173" s="70">
        <f>5</f>
        <v>5</v>
      </c>
      <c r="K173" s="70">
        <v>11</v>
      </c>
      <c r="L173" s="70"/>
      <c r="M173" s="70">
        <f>20+23+15</f>
        <v>58</v>
      </c>
      <c r="N173" s="70">
        <v>17</v>
      </c>
      <c r="O173" s="70"/>
      <c r="P173" s="70">
        <v>121</v>
      </c>
      <c r="Q173" s="70"/>
      <c r="R173" s="70">
        <v>23</v>
      </c>
      <c r="S173" s="70"/>
      <c r="T173" s="70">
        <v>30</v>
      </c>
      <c r="U173" s="70"/>
      <c r="V173" s="70">
        <f>91+5+5</f>
        <v>101</v>
      </c>
      <c r="W173" s="70"/>
      <c r="X173" s="70"/>
      <c r="Y173" s="70"/>
      <c r="Z173" s="70"/>
      <c r="AA173" s="70"/>
      <c r="AB173" s="70">
        <f>SUM(E173:AA173)</f>
        <v>752</v>
      </c>
      <c r="AC173" s="70">
        <f>AD173-AB173</f>
        <v>1120</v>
      </c>
      <c r="AD173" s="70">
        <f>752+1120</f>
        <v>1872</v>
      </c>
      <c r="AE173" s="69">
        <f>(AB173/AD173)</f>
        <v>0.40170940170940173</v>
      </c>
      <c r="AF173" s="68" t="s">
        <v>71</v>
      </c>
    </row>
    <row r="174" spans="1:32" s="67" customFormat="1" ht="30" customHeight="1" x14ac:dyDescent="0.25">
      <c r="A174" s="71">
        <v>46150</v>
      </c>
      <c r="B174" s="70" t="s">
        <v>1</v>
      </c>
      <c r="C174" s="70" t="s">
        <v>14</v>
      </c>
      <c r="D174" s="70">
        <v>7</v>
      </c>
      <c r="E174" s="70">
        <f>35+45+40+15+10+3</f>
        <v>148</v>
      </c>
      <c r="F174" s="70">
        <f>10</f>
        <v>10</v>
      </c>
      <c r="G174" s="70">
        <f>12+5</f>
        <v>17</v>
      </c>
      <c r="H174" s="70">
        <f>20</f>
        <v>20</v>
      </c>
      <c r="I174" s="70"/>
      <c r="J174" s="70"/>
      <c r="K174" s="70"/>
      <c r="L174" s="70">
        <f>25</f>
        <v>25</v>
      </c>
      <c r="M174" s="70">
        <f>3+5</f>
        <v>8</v>
      </c>
      <c r="N174" s="70">
        <f>10</f>
        <v>10</v>
      </c>
      <c r="O174" s="70">
        <v>15</v>
      </c>
      <c r="P174" s="70">
        <f>43</f>
        <v>43</v>
      </c>
      <c r="Q174" s="70">
        <v>10</v>
      </c>
      <c r="R174" s="70">
        <f>5</f>
        <v>5</v>
      </c>
      <c r="S174" s="70"/>
      <c r="T174" s="70">
        <f>5</f>
        <v>5</v>
      </c>
      <c r="U174" s="70"/>
      <c r="V174" s="70">
        <v>5</v>
      </c>
      <c r="W174" s="70"/>
      <c r="X174" s="70"/>
      <c r="Y174" s="70">
        <f>10</f>
        <v>10</v>
      </c>
      <c r="Z174" s="70"/>
      <c r="AA174" s="70"/>
      <c r="AB174" s="70">
        <f>SUM(E174:AA174)</f>
        <v>331</v>
      </c>
      <c r="AC174" s="70">
        <f>AD174-AB174</f>
        <v>595</v>
      </c>
      <c r="AD174" s="70">
        <f>331+595</f>
        <v>926</v>
      </c>
      <c r="AE174" s="69">
        <f>(AB174/AD174)</f>
        <v>0.35745140388768898</v>
      </c>
      <c r="AF174" s="68" t="s">
        <v>71</v>
      </c>
    </row>
    <row r="175" spans="1:32" s="67" customFormat="1" ht="30" customHeight="1" x14ac:dyDescent="0.25">
      <c r="A175" s="71">
        <v>46150</v>
      </c>
      <c r="B175" s="70" t="s">
        <v>73</v>
      </c>
      <c r="C175" s="70" t="s">
        <v>82</v>
      </c>
      <c r="D175" s="70">
        <v>8</v>
      </c>
      <c r="E175" s="70">
        <v>114</v>
      </c>
      <c r="F175" s="70">
        <v>51</v>
      </c>
      <c r="G175" s="70">
        <v>20</v>
      </c>
      <c r="H175" s="70">
        <v>74</v>
      </c>
      <c r="I175" s="70"/>
      <c r="J175" s="70"/>
      <c r="K175" s="70"/>
      <c r="L175" s="70"/>
      <c r="M175" s="70">
        <v>28</v>
      </c>
      <c r="N175" s="70">
        <v>11</v>
      </c>
      <c r="O175" s="70">
        <v>13</v>
      </c>
      <c r="P175" s="70">
        <v>41</v>
      </c>
      <c r="Q175" s="70">
        <v>18</v>
      </c>
      <c r="R175" s="70"/>
      <c r="S175" s="70"/>
      <c r="T175" s="70">
        <v>57</v>
      </c>
      <c r="U175" s="70"/>
      <c r="V175" s="70">
        <f>208+3</f>
        <v>211</v>
      </c>
      <c r="W175" s="70"/>
      <c r="X175" s="70"/>
      <c r="Y175" s="70"/>
      <c r="Z175" s="70"/>
      <c r="AA175" s="70"/>
      <c r="AB175" s="70">
        <f>SUM(E175:AA175)</f>
        <v>638</v>
      </c>
      <c r="AC175" s="70">
        <f>AD175-AB175</f>
        <v>952</v>
      </c>
      <c r="AD175" s="70">
        <f>638+952</f>
        <v>1590</v>
      </c>
      <c r="AE175" s="69">
        <f>(AB175/AD175)</f>
        <v>0.40125786163522015</v>
      </c>
      <c r="AF175" s="68" t="s">
        <v>71</v>
      </c>
    </row>
    <row r="176" spans="1:32" s="67" customFormat="1" ht="30" customHeight="1" x14ac:dyDescent="0.25">
      <c r="A176" s="71">
        <v>46150</v>
      </c>
      <c r="B176" s="70" t="s">
        <v>1</v>
      </c>
      <c r="C176" s="70" t="s">
        <v>12</v>
      </c>
      <c r="D176" s="70">
        <v>9</v>
      </c>
      <c r="E176" s="70">
        <v>163</v>
      </c>
      <c r="F176" s="70">
        <v>24</v>
      </c>
      <c r="G176" s="70">
        <v>49</v>
      </c>
      <c r="H176" s="70">
        <v>34</v>
      </c>
      <c r="I176" s="70">
        <v>10</v>
      </c>
      <c r="J176" s="70">
        <v>54</v>
      </c>
      <c r="K176" s="70"/>
      <c r="L176" s="70"/>
      <c r="M176" s="70">
        <v>198</v>
      </c>
      <c r="N176" s="70">
        <v>13</v>
      </c>
      <c r="O176" s="70"/>
      <c r="P176" s="70">
        <v>43</v>
      </c>
      <c r="Q176" s="70"/>
      <c r="R176" s="70"/>
      <c r="S176" s="70"/>
      <c r="T176" s="70">
        <v>17</v>
      </c>
      <c r="U176" s="70"/>
      <c r="V176" s="70">
        <f>39+36</f>
        <v>75</v>
      </c>
      <c r="W176" s="70"/>
      <c r="X176" s="70"/>
      <c r="Y176" s="70">
        <v>45</v>
      </c>
      <c r="Z176" s="70"/>
      <c r="AA176" s="70"/>
      <c r="AB176" s="70">
        <f>SUM(E176:AA176)</f>
        <v>725</v>
      </c>
      <c r="AC176" s="70">
        <f>AD176-AB176</f>
        <v>1696</v>
      </c>
      <c r="AD176" s="70">
        <f>725+1696</f>
        <v>2421</v>
      </c>
      <c r="AE176" s="69">
        <f>(AB176/AD176)</f>
        <v>0.29946303180503925</v>
      </c>
      <c r="AF176" s="68" t="s">
        <v>71</v>
      </c>
    </row>
    <row r="177" spans="1:32" s="67" customFormat="1" ht="30" customHeight="1" x14ac:dyDescent="0.25">
      <c r="A177" s="71">
        <v>46150</v>
      </c>
      <c r="B177" s="70" t="s">
        <v>1</v>
      </c>
      <c r="C177" s="70" t="s">
        <v>0</v>
      </c>
      <c r="D177" s="70">
        <v>10</v>
      </c>
      <c r="E177" s="70">
        <f>10+27+5+5</f>
        <v>47</v>
      </c>
      <c r="F177" s="70">
        <f>4</f>
        <v>4</v>
      </c>
      <c r="G177" s="70">
        <v>18</v>
      </c>
      <c r="H177" s="70"/>
      <c r="I177" s="70">
        <v>5</v>
      </c>
      <c r="J177" s="70">
        <v>21</v>
      </c>
      <c r="K177" s="70"/>
      <c r="L177" s="70">
        <v>3</v>
      </c>
      <c r="M177" s="70">
        <v>6</v>
      </c>
      <c r="N177" s="70"/>
      <c r="O177" s="70">
        <v>3</v>
      </c>
      <c r="P177" s="70">
        <v>9</v>
      </c>
      <c r="Q177" s="70"/>
      <c r="R177" s="70"/>
      <c r="S177" s="70"/>
      <c r="T177" s="70"/>
      <c r="U177" s="70"/>
      <c r="V177" s="70">
        <f>25+82</f>
        <v>107</v>
      </c>
      <c r="W177" s="70"/>
      <c r="X177" s="70"/>
      <c r="Y177" s="70"/>
      <c r="Z177" s="70"/>
      <c r="AA177" s="70"/>
      <c r="AB177" s="70">
        <f>SUM(E177:AA177)</f>
        <v>223</v>
      </c>
      <c r="AC177" s="70">
        <f>AD177-AB177</f>
        <v>464</v>
      </c>
      <c r="AD177" s="70">
        <f>223+464</f>
        <v>687</v>
      </c>
      <c r="AE177" s="69">
        <f>(AB177/AD177)</f>
        <v>0.32459970887918488</v>
      </c>
      <c r="AF177" s="68" t="s">
        <v>71</v>
      </c>
    </row>
    <row r="178" spans="1:32" s="67" customFormat="1" ht="30" customHeight="1" x14ac:dyDescent="0.25">
      <c r="A178" s="71">
        <v>46150</v>
      </c>
      <c r="B178" s="70" t="s">
        <v>1</v>
      </c>
      <c r="C178" s="70" t="s">
        <v>10</v>
      </c>
      <c r="D178" s="70">
        <v>11</v>
      </c>
      <c r="E178" s="70">
        <v>97</v>
      </c>
      <c r="F178" s="70">
        <v>38</v>
      </c>
      <c r="G178" s="70">
        <v>10</v>
      </c>
      <c r="H178" s="70">
        <v>8</v>
      </c>
      <c r="I178" s="70"/>
      <c r="J178" s="70">
        <v>25</v>
      </c>
      <c r="K178" s="70">
        <v>3</v>
      </c>
      <c r="L178" s="70"/>
      <c r="M178" s="70">
        <v>25</v>
      </c>
      <c r="N178" s="70"/>
      <c r="O178" s="70"/>
      <c r="P178" s="70">
        <v>23</v>
      </c>
      <c r="Q178" s="70"/>
      <c r="R178" s="70"/>
      <c r="S178" s="70"/>
      <c r="T178" s="70">
        <v>14</v>
      </c>
      <c r="U178" s="70"/>
      <c r="V178" s="70">
        <f>37+40+10+13</f>
        <v>100</v>
      </c>
      <c r="W178" s="70"/>
      <c r="X178" s="70"/>
      <c r="Y178" s="70"/>
      <c r="Z178" s="70"/>
      <c r="AA178" s="70"/>
      <c r="AB178" s="70">
        <f>SUM(E178:AA178)</f>
        <v>343</v>
      </c>
      <c r="AC178" s="70">
        <f>AD178-AB178</f>
        <v>880</v>
      </c>
      <c r="AD178" s="70">
        <f>343+880</f>
        <v>1223</v>
      </c>
      <c r="AE178" s="69">
        <f>(AB178/AD178)</f>
        <v>0.28045789043336061</v>
      </c>
      <c r="AF178" s="68" t="s">
        <v>71</v>
      </c>
    </row>
    <row r="179" spans="1:32" s="67" customFormat="1" ht="30" customHeight="1" x14ac:dyDescent="0.25">
      <c r="A179" s="71">
        <v>46150</v>
      </c>
      <c r="B179" s="70" t="s">
        <v>78</v>
      </c>
      <c r="C179" s="70" t="s">
        <v>18</v>
      </c>
      <c r="D179" s="70">
        <v>13</v>
      </c>
      <c r="E179" s="70">
        <v>73</v>
      </c>
      <c r="F179" s="70">
        <v>5</v>
      </c>
      <c r="G179" s="70">
        <v>68</v>
      </c>
      <c r="H179" s="70">
        <v>61</v>
      </c>
      <c r="I179" s="70">
        <v>84</v>
      </c>
      <c r="J179" s="70"/>
      <c r="K179" s="70"/>
      <c r="L179" s="70"/>
      <c r="M179" s="70">
        <v>57</v>
      </c>
      <c r="N179" s="70"/>
      <c r="O179" s="70">
        <v>43</v>
      </c>
      <c r="P179" s="70">
        <v>61</v>
      </c>
      <c r="Q179" s="70"/>
      <c r="R179" s="70"/>
      <c r="S179" s="70"/>
      <c r="T179" s="70"/>
      <c r="U179" s="70"/>
      <c r="V179" s="70">
        <f>58+5</f>
        <v>63</v>
      </c>
      <c r="W179" s="70"/>
      <c r="X179" s="70"/>
      <c r="Y179" s="70"/>
      <c r="Z179" s="70"/>
      <c r="AA179" s="70"/>
      <c r="AB179" s="70">
        <f>SUM(E179:AA179)</f>
        <v>515</v>
      </c>
      <c r="AC179" s="70">
        <f>AD179-AB179</f>
        <v>1260</v>
      </c>
      <c r="AD179" s="70">
        <f>515+1260</f>
        <v>1775</v>
      </c>
      <c r="AE179" s="69">
        <f>(AB179/AD179)</f>
        <v>0.29014084507042254</v>
      </c>
      <c r="AF179" s="68" t="s">
        <v>71</v>
      </c>
    </row>
    <row r="180" spans="1:32" s="67" customFormat="1" ht="30" customHeight="1" x14ac:dyDescent="0.25">
      <c r="A180" s="71">
        <v>46150</v>
      </c>
      <c r="B180" s="70" t="s">
        <v>1</v>
      </c>
      <c r="C180" s="70" t="s">
        <v>8</v>
      </c>
      <c r="D180" s="70">
        <v>14</v>
      </c>
      <c r="E180" s="70">
        <v>14</v>
      </c>
      <c r="F180" s="70">
        <v>19</v>
      </c>
      <c r="G180" s="70"/>
      <c r="H180" s="70"/>
      <c r="I180" s="70"/>
      <c r="J180" s="70"/>
      <c r="K180" s="70">
        <v>10</v>
      </c>
      <c r="L180" s="70">
        <v>22</v>
      </c>
      <c r="M180" s="70">
        <v>73</v>
      </c>
      <c r="N180" s="70"/>
      <c r="O180" s="70">
        <v>27</v>
      </c>
      <c r="P180" s="70">
        <v>14</v>
      </c>
      <c r="Q180" s="70"/>
      <c r="R180" s="70"/>
      <c r="S180" s="70"/>
      <c r="T180" s="70">
        <v>5</v>
      </c>
      <c r="U180" s="70"/>
      <c r="V180" s="70">
        <f>11+4</f>
        <v>15</v>
      </c>
      <c r="W180" s="70"/>
      <c r="X180" s="70"/>
      <c r="Y180" s="70"/>
      <c r="Z180" s="70"/>
      <c r="AA180" s="70">
        <f>8+7+5</f>
        <v>20</v>
      </c>
      <c r="AB180" s="70">
        <f>SUM(E180:AA180)</f>
        <v>219</v>
      </c>
      <c r="AC180" s="70">
        <f>AD180-AB180</f>
        <v>672</v>
      </c>
      <c r="AD180" s="70">
        <f>219+672</f>
        <v>891</v>
      </c>
      <c r="AE180" s="69">
        <f>(AB180/AD180)</f>
        <v>0.24579124579124578</v>
      </c>
      <c r="AF180" s="68" t="s">
        <v>71</v>
      </c>
    </row>
    <row r="181" spans="1:32" s="67" customFormat="1" ht="30" customHeight="1" x14ac:dyDescent="0.25">
      <c r="A181" s="71">
        <v>46150</v>
      </c>
      <c r="B181" s="70" t="s">
        <v>73</v>
      </c>
      <c r="C181" s="70" t="s">
        <v>7</v>
      </c>
      <c r="D181" s="70">
        <v>15</v>
      </c>
      <c r="E181" s="70">
        <v>7</v>
      </c>
      <c r="F181" s="70">
        <v>38</v>
      </c>
      <c r="G181" s="70"/>
      <c r="H181" s="70"/>
      <c r="I181" s="70"/>
      <c r="J181" s="70"/>
      <c r="K181" s="70">
        <v>17</v>
      </c>
      <c r="L181" s="70">
        <v>9</v>
      </c>
      <c r="M181" s="70">
        <v>40</v>
      </c>
      <c r="N181" s="70"/>
      <c r="O181" s="70"/>
      <c r="P181" s="70">
        <v>3</v>
      </c>
      <c r="Q181" s="70"/>
      <c r="R181" s="70"/>
      <c r="S181" s="70"/>
      <c r="T181" s="70">
        <v>3</v>
      </c>
      <c r="U181" s="70"/>
      <c r="V181" s="70">
        <f>8+10</f>
        <v>18</v>
      </c>
      <c r="W181" s="70"/>
      <c r="X181" s="70"/>
      <c r="Y181" s="70"/>
      <c r="Z181" s="70"/>
      <c r="AA181" s="70"/>
      <c r="AB181" s="70">
        <f>SUM(E181:AA181)</f>
        <v>135</v>
      </c>
      <c r="AC181" s="70">
        <f>AD181-AB181</f>
        <v>196</v>
      </c>
      <c r="AD181" s="70">
        <f>135+196</f>
        <v>331</v>
      </c>
      <c r="AE181" s="69">
        <f>(AB181/AD181)</f>
        <v>0.40785498489425981</v>
      </c>
      <c r="AF181" s="68" t="s">
        <v>71</v>
      </c>
    </row>
    <row r="182" spans="1:32" s="67" customFormat="1" ht="30" customHeight="1" x14ac:dyDescent="0.25">
      <c r="A182" s="71">
        <v>46150</v>
      </c>
      <c r="B182" s="70" t="s">
        <v>1</v>
      </c>
      <c r="C182" s="70" t="s">
        <v>10</v>
      </c>
      <c r="D182" s="70">
        <v>16</v>
      </c>
      <c r="E182" s="70">
        <v>73</v>
      </c>
      <c r="F182" s="70">
        <v>24</v>
      </c>
      <c r="G182" s="70">
        <v>45</v>
      </c>
      <c r="H182" s="70">
        <v>15</v>
      </c>
      <c r="I182" s="70"/>
      <c r="J182" s="70"/>
      <c r="K182" s="70">
        <v>7</v>
      </c>
      <c r="L182" s="70"/>
      <c r="M182" s="70">
        <v>113</v>
      </c>
      <c r="N182" s="70"/>
      <c r="O182" s="70">
        <v>8</v>
      </c>
      <c r="P182" s="70">
        <v>63</v>
      </c>
      <c r="Q182" s="70"/>
      <c r="R182" s="70"/>
      <c r="S182" s="70"/>
      <c r="T182" s="70">
        <v>38</v>
      </c>
      <c r="U182" s="70"/>
      <c r="V182" s="70">
        <f>34+6</f>
        <v>40</v>
      </c>
      <c r="W182" s="70"/>
      <c r="X182" s="70"/>
      <c r="Y182" s="70"/>
      <c r="Z182" s="70"/>
      <c r="AA182" s="70">
        <f>5+8</f>
        <v>13</v>
      </c>
      <c r="AB182" s="70">
        <f>SUM(E182:AA182)</f>
        <v>439</v>
      </c>
      <c r="AC182" s="70">
        <f>AD182-AB182</f>
        <v>880</v>
      </c>
      <c r="AD182" s="70">
        <f>439+880</f>
        <v>1319</v>
      </c>
      <c r="AE182" s="69">
        <f>(AB182/AD182)</f>
        <v>0.33282789992418499</v>
      </c>
      <c r="AF182" s="68" t="s">
        <v>71</v>
      </c>
    </row>
    <row r="183" spans="1:32" s="67" customFormat="1" ht="30" customHeight="1" x14ac:dyDescent="0.25">
      <c r="A183" s="71">
        <v>46150</v>
      </c>
      <c r="B183" s="70" t="s">
        <v>73</v>
      </c>
      <c r="C183" s="70" t="s">
        <v>12</v>
      </c>
      <c r="D183" s="70">
        <v>17</v>
      </c>
      <c r="E183" s="70">
        <v>154</v>
      </c>
      <c r="F183" s="70"/>
      <c r="G183" s="70">
        <v>11</v>
      </c>
      <c r="H183" s="70">
        <v>4</v>
      </c>
      <c r="I183" s="70">
        <v>12</v>
      </c>
      <c r="J183" s="70"/>
      <c r="K183" s="70"/>
      <c r="L183" s="70"/>
      <c r="M183" s="70">
        <v>30</v>
      </c>
      <c r="N183" s="70"/>
      <c r="O183" s="70"/>
      <c r="P183" s="70">
        <v>20</v>
      </c>
      <c r="Q183" s="70"/>
      <c r="R183" s="70"/>
      <c r="S183" s="70"/>
      <c r="T183" s="70"/>
      <c r="U183" s="70"/>
      <c r="V183" s="70">
        <f>37+3+40</f>
        <v>80</v>
      </c>
      <c r="W183" s="70"/>
      <c r="X183" s="70"/>
      <c r="Y183" s="70">
        <v>5</v>
      </c>
      <c r="Z183" s="70"/>
      <c r="AA183" s="70"/>
      <c r="AB183" s="70">
        <f>SUM(E183:AA183)</f>
        <v>316</v>
      </c>
      <c r="AC183" s="70">
        <f>AD183-AB183</f>
        <v>1704</v>
      </c>
      <c r="AD183" s="70">
        <f>316+1704</f>
        <v>2020</v>
      </c>
      <c r="AE183" s="69">
        <f>(AB183/AD183)</f>
        <v>0.15643564356435644</v>
      </c>
      <c r="AF183" s="68" t="s">
        <v>71</v>
      </c>
    </row>
    <row r="184" spans="1:32" s="67" customFormat="1" ht="30" customHeight="1" x14ac:dyDescent="0.25">
      <c r="A184" s="71">
        <v>46150</v>
      </c>
      <c r="B184" s="70" t="s">
        <v>1</v>
      </c>
      <c r="C184" s="70" t="s">
        <v>6</v>
      </c>
      <c r="D184" s="70">
        <v>18</v>
      </c>
      <c r="E184" s="70">
        <v>65</v>
      </c>
      <c r="F184" s="70">
        <v>60</v>
      </c>
      <c r="G184" s="70"/>
      <c r="H184" s="70">
        <v>15</v>
      </c>
      <c r="I184" s="70"/>
      <c r="J184" s="70"/>
      <c r="K184" s="70">
        <v>16</v>
      </c>
      <c r="L184" s="70"/>
      <c r="M184" s="70">
        <v>55</v>
      </c>
      <c r="N184" s="70"/>
      <c r="O184" s="70">
        <v>5</v>
      </c>
      <c r="P184" s="70">
        <v>31</v>
      </c>
      <c r="Q184" s="70"/>
      <c r="R184" s="70"/>
      <c r="S184" s="70">
        <v>6</v>
      </c>
      <c r="T184" s="70">
        <v>27</v>
      </c>
      <c r="U184" s="70"/>
      <c r="V184" s="70">
        <f>41+35</f>
        <v>76</v>
      </c>
      <c r="W184" s="70"/>
      <c r="X184" s="70"/>
      <c r="Y184" s="70"/>
      <c r="Z184" s="70"/>
      <c r="AA184" s="70"/>
      <c r="AB184" s="70">
        <f>SUM(E184:AA184)</f>
        <v>356</v>
      </c>
      <c r="AC184" s="70">
        <f>AD184-AB184</f>
        <v>984</v>
      </c>
      <c r="AD184" s="70">
        <f>356+984</f>
        <v>1340</v>
      </c>
      <c r="AE184" s="69">
        <f>(AB184/AD184)</f>
        <v>0.2656716417910448</v>
      </c>
      <c r="AF184" s="68" t="s">
        <v>71</v>
      </c>
    </row>
    <row r="185" spans="1:32" s="67" customFormat="1" ht="30" customHeight="1" x14ac:dyDescent="0.25">
      <c r="A185" s="71">
        <v>46150</v>
      </c>
      <c r="B185" s="70" t="s">
        <v>1</v>
      </c>
      <c r="C185" s="70" t="s">
        <v>2</v>
      </c>
      <c r="D185" s="70">
        <v>19</v>
      </c>
      <c r="E185" s="70">
        <v>18</v>
      </c>
      <c r="F185" s="70">
        <v>7</v>
      </c>
      <c r="G185" s="70">
        <v>27</v>
      </c>
      <c r="H185" s="70">
        <v>5</v>
      </c>
      <c r="I185" s="70"/>
      <c r="J185" s="70"/>
      <c r="K185" s="70"/>
      <c r="L185" s="70"/>
      <c r="M185" s="70">
        <v>1</v>
      </c>
      <c r="N185" s="70">
        <v>8</v>
      </c>
      <c r="O185" s="70"/>
      <c r="P185" s="70">
        <v>19</v>
      </c>
      <c r="Q185" s="70"/>
      <c r="R185" s="70"/>
      <c r="S185" s="70"/>
      <c r="T185" s="70">
        <v>36</v>
      </c>
      <c r="U185" s="70"/>
      <c r="V185" s="70">
        <f>50+24</f>
        <v>74</v>
      </c>
      <c r="W185" s="70">
        <v>2</v>
      </c>
      <c r="X185" s="70"/>
      <c r="Y185" s="70"/>
      <c r="Z185" s="70"/>
      <c r="AA185" s="70"/>
      <c r="AB185" s="70">
        <f>SUM(E185:AA185)</f>
        <v>197</v>
      </c>
      <c r="AC185" s="70">
        <f>AD185-AB185</f>
        <v>700</v>
      </c>
      <c r="AD185" s="70">
        <f>197+700</f>
        <v>897</v>
      </c>
      <c r="AE185" s="69">
        <f>(AB185/AD185)</f>
        <v>0.21962095875139354</v>
      </c>
      <c r="AF185" s="68" t="s">
        <v>71</v>
      </c>
    </row>
    <row r="186" spans="1:32" s="67" customFormat="1" ht="30" customHeight="1" x14ac:dyDescent="0.25">
      <c r="A186" s="71">
        <v>46150</v>
      </c>
      <c r="B186" s="70" t="s">
        <v>1</v>
      </c>
      <c r="C186" s="70" t="s">
        <v>9</v>
      </c>
      <c r="D186" s="70">
        <v>20</v>
      </c>
      <c r="E186" s="70">
        <v>35</v>
      </c>
      <c r="F186" s="70">
        <v>10</v>
      </c>
      <c r="G186" s="70">
        <v>25</v>
      </c>
      <c r="H186" s="70">
        <v>5</v>
      </c>
      <c r="I186" s="70"/>
      <c r="J186" s="70"/>
      <c r="K186" s="70">
        <v>45</v>
      </c>
      <c r="L186" s="70"/>
      <c r="M186" s="70">
        <v>18</v>
      </c>
      <c r="N186" s="70"/>
      <c r="O186" s="70"/>
      <c r="P186" s="70">
        <v>30</v>
      </c>
      <c r="Q186" s="70"/>
      <c r="R186" s="70"/>
      <c r="S186" s="70"/>
      <c r="T186" s="70">
        <v>52</v>
      </c>
      <c r="U186" s="70"/>
      <c r="V186" s="70">
        <v>17</v>
      </c>
      <c r="W186" s="70"/>
      <c r="X186" s="70"/>
      <c r="Y186" s="70"/>
      <c r="Z186" s="70"/>
      <c r="AA186" s="70"/>
      <c r="AB186" s="70">
        <f>SUM(E186:AA186)</f>
        <v>237</v>
      </c>
      <c r="AC186" s="70">
        <f>AD186-AB186</f>
        <v>656</v>
      </c>
      <c r="AD186" s="70">
        <f>237+656</f>
        <v>893</v>
      </c>
      <c r="AE186" s="69">
        <f>(AB186/AD186)</f>
        <v>0.26539753639417696</v>
      </c>
      <c r="AF186" s="68" t="s">
        <v>71</v>
      </c>
    </row>
    <row r="187" spans="1:32" s="67" customFormat="1" ht="30" customHeight="1" x14ac:dyDescent="0.25">
      <c r="A187" s="71">
        <v>46150</v>
      </c>
      <c r="B187" s="70" t="s">
        <v>1</v>
      </c>
      <c r="C187" s="70" t="s">
        <v>75</v>
      </c>
      <c r="D187" s="70">
        <v>21</v>
      </c>
      <c r="E187" s="70">
        <v>167</v>
      </c>
      <c r="F187" s="70">
        <v>15</v>
      </c>
      <c r="G187" s="70">
        <v>4</v>
      </c>
      <c r="H187" s="70">
        <v>5</v>
      </c>
      <c r="I187" s="70"/>
      <c r="J187" s="70">
        <v>18</v>
      </c>
      <c r="K187" s="70"/>
      <c r="L187" s="70"/>
      <c r="M187" s="70">
        <v>78</v>
      </c>
      <c r="N187" s="70">
        <v>10</v>
      </c>
      <c r="O187" s="70"/>
      <c r="P187" s="70">
        <v>35</v>
      </c>
      <c r="Q187" s="70">
        <v>25</v>
      </c>
      <c r="R187" s="70"/>
      <c r="S187" s="70">
        <v>5</v>
      </c>
      <c r="T187" s="70"/>
      <c r="U187" s="70"/>
      <c r="V187" s="70">
        <f>105+17</f>
        <v>122</v>
      </c>
      <c r="W187" s="70"/>
      <c r="X187" s="70"/>
      <c r="Y187" s="70"/>
      <c r="Z187" s="70"/>
      <c r="AA187" s="70">
        <v>11</v>
      </c>
      <c r="AB187" s="70">
        <f>SUM(E187:AA187)</f>
        <v>495</v>
      </c>
      <c r="AC187" s="70">
        <f>AD187-AB187</f>
        <v>840</v>
      </c>
      <c r="AD187" s="70">
        <f>495+840</f>
        <v>1335</v>
      </c>
      <c r="AE187" s="69">
        <f>(AB187/AD187)</f>
        <v>0.3707865168539326</v>
      </c>
      <c r="AF187" s="68" t="s">
        <v>71</v>
      </c>
    </row>
    <row r="188" spans="1:32" s="67" customFormat="1" ht="30" customHeight="1" x14ac:dyDescent="0.25">
      <c r="A188" s="71">
        <v>46150</v>
      </c>
      <c r="B188" s="70" t="s">
        <v>1</v>
      </c>
      <c r="C188" s="70" t="s">
        <v>8</v>
      </c>
      <c r="D188" s="70">
        <v>22</v>
      </c>
      <c r="E188" s="70">
        <v>89</v>
      </c>
      <c r="F188" s="70">
        <v>10</v>
      </c>
      <c r="G188" s="70">
        <v>36</v>
      </c>
      <c r="H188" s="70">
        <v>37</v>
      </c>
      <c r="I188" s="70"/>
      <c r="J188" s="70">
        <v>24</v>
      </c>
      <c r="K188" s="70"/>
      <c r="L188" s="70">
        <v>27</v>
      </c>
      <c r="M188" s="70">
        <v>124</v>
      </c>
      <c r="N188" s="70"/>
      <c r="O188" s="70">
        <v>10</v>
      </c>
      <c r="P188" s="70">
        <v>38</v>
      </c>
      <c r="Q188" s="70"/>
      <c r="R188" s="70"/>
      <c r="S188" s="70"/>
      <c r="T188" s="70">
        <v>9</v>
      </c>
      <c r="U188" s="70"/>
      <c r="V188" s="70"/>
      <c r="W188" s="70"/>
      <c r="X188" s="70"/>
      <c r="Y188" s="70"/>
      <c r="Z188" s="70"/>
      <c r="AA188" s="70"/>
      <c r="AB188" s="70">
        <f>SUM(E188:AA188)</f>
        <v>404</v>
      </c>
      <c r="AC188" s="70">
        <f>AD188-AB188</f>
        <v>720</v>
      </c>
      <c r="AD188" s="70">
        <f>404+720</f>
        <v>1124</v>
      </c>
      <c r="AE188" s="69">
        <f>(AB188/AD188)</f>
        <v>0.35943060498220641</v>
      </c>
      <c r="AF188" s="68" t="s">
        <v>71</v>
      </c>
    </row>
    <row r="189" spans="1:32" s="67" customFormat="1" ht="30" customHeight="1" x14ac:dyDescent="0.25">
      <c r="A189" s="71">
        <v>46150</v>
      </c>
      <c r="B189" s="70" t="s">
        <v>1</v>
      </c>
      <c r="C189" s="70" t="s">
        <v>10</v>
      </c>
      <c r="D189" s="70">
        <v>23</v>
      </c>
      <c r="E189" s="70">
        <v>18</v>
      </c>
      <c r="F189" s="70"/>
      <c r="G189" s="70"/>
      <c r="H189" s="70"/>
      <c r="I189" s="70"/>
      <c r="J189" s="70"/>
      <c r="K189" s="70"/>
      <c r="L189" s="70"/>
      <c r="M189" s="70">
        <v>5</v>
      </c>
      <c r="N189" s="70"/>
      <c r="O189" s="70"/>
      <c r="P189" s="70">
        <v>5</v>
      </c>
      <c r="Q189" s="70"/>
      <c r="R189" s="70"/>
      <c r="S189" s="70"/>
      <c r="T189" s="70"/>
      <c r="U189" s="70">
        <v>10</v>
      </c>
      <c r="V189" s="70">
        <v>5</v>
      </c>
      <c r="W189" s="70"/>
      <c r="X189" s="70"/>
      <c r="Y189" s="70"/>
      <c r="Z189" s="70"/>
      <c r="AA189" s="70">
        <f>2</f>
        <v>2</v>
      </c>
      <c r="AB189" s="70">
        <f>SUM(E189:AA189)</f>
        <v>45</v>
      </c>
      <c r="AC189" s="70">
        <f>AD189-AB189</f>
        <v>74</v>
      </c>
      <c r="AD189" s="70">
        <f>45+74</f>
        <v>119</v>
      </c>
      <c r="AE189" s="69">
        <f>(AB189/AD189)</f>
        <v>0.37815126050420167</v>
      </c>
      <c r="AF189" s="68" t="s">
        <v>71</v>
      </c>
    </row>
    <row r="190" spans="1:32" s="67" customFormat="1" ht="30" customHeight="1" x14ac:dyDescent="0.25">
      <c r="A190" s="71">
        <v>46150</v>
      </c>
      <c r="B190" s="70" t="s">
        <v>1</v>
      </c>
      <c r="C190" s="70" t="s">
        <v>6</v>
      </c>
      <c r="D190" s="70">
        <v>24</v>
      </c>
      <c r="E190" s="70">
        <f>30+25+5+3</f>
        <v>63</v>
      </c>
      <c r="F190" s="70">
        <f>5</f>
        <v>5</v>
      </c>
      <c r="G190" s="70"/>
      <c r="H190" s="70">
        <f>5+8</f>
        <v>13</v>
      </c>
      <c r="I190" s="70"/>
      <c r="J190" s="70"/>
      <c r="K190" s="70"/>
      <c r="L190" s="70"/>
      <c r="M190" s="70">
        <f>3+10+5+13</f>
        <v>31</v>
      </c>
      <c r="N190" s="70"/>
      <c r="O190" s="70"/>
      <c r="P190" s="70">
        <v>15</v>
      </c>
      <c r="Q190" s="70"/>
      <c r="R190" s="70"/>
      <c r="S190" s="70"/>
      <c r="T190" s="70"/>
      <c r="U190" s="70"/>
      <c r="V190" s="70">
        <f>10+5+5+13</f>
        <v>33</v>
      </c>
      <c r="W190" s="70"/>
      <c r="X190" s="70"/>
      <c r="Y190" s="70"/>
      <c r="Z190" s="70"/>
      <c r="AA190" s="70"/>
      <c r="AB190" s="70">
        <f>SUM(E190:AA190)</f>
        <v>160</v>
      </c>
      <c r="AC190" s="70">
        <f>AD190-AB190</f>
        <v>1016</v>
      </c>
      <c r="AD190" s="70">
        <f>160+1016</f>
        <v>1176</v>
      </c>
      <c r="AE190" s="69">
        <f>(AB190/AD190)</f>
        <v>0.1360544217687075</v>
      </c>
      <c r="AF190" s="68" t="s">
        <v>71</v>
      </c>
    </row>
    <row r="191" spans="1:32" s="67" customFormat="1" ht="30" customHeight="1" x14ac:dyDescent="0.25">
      <c r="A191" s="71">
        <v>46150</v>
      </c>
      <c r="B191" s="70" t="s">
        <v>5</v>
      </c>
      <c r="C191" s="70" t="s">
        <v>4</v>
      </c>
      <c r="D191" s="70">
        <v>25</v>
      </c>
      <c r="E191" s="70">
        <v>330</v>
      </c>
      <c r="F191" s="70"/>
      <c r="G191" s="70"/>
      <c r="H191" s="70">
        <v>120</v>
      </c>
      <c r="I191" s="70"/>
      <c r="J191" s="70"/>
      <c r="K191" s="70">
        <f>10+50</f>
        <v>60</v>
      </c>
      <c r="L191" s="70"/>
      <c r="M191" s="70">
        <v>105</v>
      </c>
      <c r="N191" s="70"/>
      <c r="O191" s="70"/>
      <c r="P191" s="70"/>
      <c r="Q191" s="70"/>
      <c r="R191" s="70"/>
      <c r="S191" s="70"/>
      <c r="T191" s="70"/>
      <c r="U191" s="70"/>
      <c r="V191" s="70">
        <f>60+30</f>
        <v>90</v>
      </c>
      <c r="W191" s="70"/>
      <c r="X191" s="70"/>
      <c r="Y191" s="70"/>
      <c r="Z191" s="70"/>
      <c r="AA191" s="70"/>
      <c r="AB191" s="70">
        <f>SUM(E191:AA191)</f>
        <v>705</v>
      </c>
      <c r="AC191" s="70">
        <f>AD191-AB191</f>
        <v>764</v>
      </c>
      <c r="AD191" s="70">
        <f>705+764</f>
        <v>1469</v>
      </c>
      <c r="AE191" s="69">
        <f>(AB191/AD191)</f>
        <v>0.47991831177671884</v>
      </c>
      <c r="AF191" s="68" t="s">
        <v>74</v>
      </c>
    </row>
    <row r="192" spans="1:32" s="67" customFormat="1" ht="30" customHeight="1" x14ac:dyDescent="0.25">
      <c r="A192" s="71">
        <v>46150</v>
      </c>
      <c r="B192" s="70" t="s">
        <v>73</v>
      </c>
      <c r="C192" s="70" t="s">
        <v>22</v>
      </c>
      <c r="D192" s="70">
        <v>26</v>
      </c>
      <c r="E192" s="70">
        <v>65</v>
      </c>
      <c r="F192" s="70">
        <v>100</v>
      </c>
      <c r="G192" s="70">
        <v>1</v>
      </c>
      <c r="H192" s="70">
        <v>5</v>
      </c>
      <c r="I192" s="70"/>
      <c r="J192" s="70"/>
      <c r="K192" s="70"/>
      <c r="L192" s="70"/>
      <c r="M192" s="70">
        <v>110</v>
      </c>
      <c r="N192" s="70"/>
      <c r="O192" s="70"/>
      <c r="P192" s="70">
        <v>5</v>
      </c>
      <c r="Q192" s="70"/>
      <c r="R192" s="70"/>
      <c r="S192" s="70"/>
      <c r="T192" s="70">
        <v>30</v>
      </c>
      <c r="U192" s="70"/>
      <c r="V192" s="70">
        <f>19+20</f>
        <v>39</v>
      </c>
      <c r="W192" s="70"/>
      <c r="X192" s="70"/>
      <c r="Y192" s="70"/>
      <c r="Z192" s="70"/>
      <c r="AA192" s="70"/>
      <c r="AB192" s="70">
        <f>SUM(E192:AA192)</f>
        <v>355</v>
      </c>
      <c r="AC192" s="70">
        <f>AD192-AB192</f>
        <v>399</v>
      </c>
      <c r="AD192" s="70">
        <f>355+399</f>
        <v>754</v>
      </c>
      <c r="AE192" s="69">
        <f>(AB192/AD192)</f>
        <v>0.47082228116710878</v>
      </c>
      <c r="AF192" s="68" t="s">
        <v>71</v>
      </c>
    </row>
    <row r="193" spans="1:32" s="67" customFormat="1" ht="30" customHeight="1" x14ac:dyDescent="0.25">
      <c r="A193" s="71">
        <v>46150</v>
      </c>
      <c r="B193" s="70" t="s">
        <v>1</v>
      </c>
      <c r="C193" s="70" t="s">
        <v>2</v>
      </c>
      <c r="D193" s="70">
        <v>27</v>
      </c>
      <c r="E193" s="70">
        <v>120</v>
      </c>
      <c r="F193" s="70">
        <v>10</v>
      </c>
      <c r="G193" s="70">
        <v>15</v>
      </c>
      <c r="H193" s="70">
        <v>10</v>
      </c>
      <c r="I193" s="70"/>
      <c r="J193" s="70"/>
      <c r="K193" s="70"/>
      <c r="L193" s="70"/>
      <c r="M193" s="70">
        <v>10</v>
      </c>
      <c r="N193" s="70"/>
      <c r="O193" s="70"/>
      <c r="P193" s="70">
        <v>8</v>
      </c>
      <c r="Q193" s="70"/>
      <c r="R193" s="70"/>
      <c r="S193" s="70"/>
      <c r="T193" s="70">
        <v>15</v>
      </c>
      <c r="U193" s="70"/>
      <c r="V193" s="70">
        <f>52+12+10+11</f>
        <v>85</v>
      </c>
      <c r="W193" s="70"/>
      <c r="X193" s="70"/>
      <c r="Y193" s="70"/>
      <c r="Z193" s="70"/>
      <c r="AA193" s="70"/>
      <c r="AB193" s="70">
        <f>SUM(E193:AA193)</f>
        <v>273</v>
      </c>
      <c r="AC193" s="70">
        <f>AD193-AB193</f>
        <v>425</v>
      </c>
      <c r="AD193" s="70">
        <f>273+425</f>
        <v>698</v>
      </c>
      <c r="AE193" s="69">
        <f>(AB193/AD193)</f>
        <v>0.39111747851002865</v>
      </c>
      <c r="AF193" s="68" t="s">
        <v>71</v>
      </c>
    </row>
    <row r="194" spans="1:32" s="67" customFormat="1" ht="30" customHeight="1" x14ac:dyDescent="0.25">
      <c r="A194" s="71">
        <v>46150</v>
      </c>
      <c r="B194" s="70" t="s">
        <v>1</v>
      </c>
      <c r="C194" s="70" t="s">
        <v>0</v>
      </c>
      <c r="D194" s="70">
        <v>28</v>
      </c>
      <c r="E194" s="70"/>
      <c r="F194" s="70">
        <f>6+7+7+5+5</f>
        <v>30</v>
      </c>
      <c r="G194" s="70">
        <f>8+10+5+4</f>
        <v>27</v>
      </c>
      <c r="H194" s="70">
        <f>7+3</f>
        <v>10</v>
      </c>
      <c r="I194" s="70">
        <f>8</f>
        <v>8</v>
      </c>
      <c r="J194" s="70"/>
      <c r="K194" s="70"/>
      <c r="L194" s="70"/>
      <c r="M194" s="70">
        <f>3+15+11+5+3</f>
        <v>37</v>
      </c>
      <c r="N194" s="70"/>
      <c r="O194" s="70"/>
      <c r="P194" s="70">
        <f>10+6</f>
        <v>16</v>
      </c>
      <c r="Q194" s="70"/>
      <c r="R194" s="70"/>
      <c r="S194" s="70"/>
      <c r="T194" s="70"/>
      <c r="U194" s="70"/>
      <c r="V194" s="70">
        <f>5+5+7</f>
        <v>17</v>
      </c>
      <c r="W194" s="70"/>
      <c r="X194" s="70"/>
      <c r="Y194" s="70"/>
      <c r="Z194" s="70"/>
      <c r="AA194" s="70"/>
      <c r="AB194" s="70">
        <f>SUM(E194:AA194)</f>
        <v>145</v>
      </c>
      <c r="AC194" s="70">
        <f>AD194-AB194</f>
        <v>472</v>
      </c>
      <c r="AD194" s="70">
        <f>145+472</f>
        <v>617</v>
      </c>
      <c r="AE194" s="69">
        <f>(AB194/AD194)</f>
        <v>0.23500810372771475</v>
      </c>
      <c r="AF194" s="68" t="s">
        <v>71</v>
      </c>
    </row>
    <row r="195" spans="1:32" s="72" customFormat="1" ht="30" customHeight="1" x14ac:dyDescent="0.25">
      <c r="A195" s="76">
        <v>46151</v>
      </c>
      <c r="B195" s="75" t="s">
        <v>1</v>
      </c>
      <c r="C195" s="75" t="s">
        <v>3</v>
      </c>
      <c r="D195" s="75">
        <v>1</v>
      </c>
      <c r="E195" s="75">
        <v>2</v>
      </c>
      <c r="F195" s="75">
        <v>5</v>
      </c>
      <c r="G195" s="75"/>
      <c r="H195" s="75">
        <v>3</v>
      </c>
      <c r="I195" s="75"/>
      <c r="J195" s="75">
        <v>7</v>
      </c>
      <c r="K195" s="75"/>
      <c r="L195" s="75">
        <v>3</v>
      </c>
      <c r="M195" s="75"/>
      <c r="N195" s="75"/>
      <c r="O195" s="75">
        <v>2</v>
      </c>
      <c r="P195" s="75">
        <v>2</v>
      </c>
      <c r="Q195" s="75"/>
      <c r="R195" s="75"/>
      <c r="S195" s="75"/>
      <c r="T195" s="75"/>
      <c r="U195" s="75"/>
      <c r="V195" s="75">
        <f>2+5</f>
        <v>7</v>
      </c>
      <c r="W195" s="75"/>
      <c r="X195" s="75"/>
      <c r="Y195" s="75"/>
      <c r="Z195" s="75"/>
      <c r="AA195" s="75"/>
      <c r="AB195" s="75">
        <f>SUM(E195:AA195)</f>
        <v>31</v>
      </c>
      <c r="AC195" s="75">
        <f>AD195-AB195</f>
        <v>40</v>
      </c>
      <c r="AD195" s="75">
        <f>31+40</f>
        <v>71</v>
      </c>
      <c r="AE195" s="74">
        <f>(AB195/AD195)</f>
        <v>0.43661971830985913</v>
      </c>
      <c r="AF195" s="73" t="s">
        <v>71</v>
      </c>
    </row>
    <row r="196" spans="1:32" s="67" customFormat="1" ht="30" customHeight="1" x14ac:dyDescent="0.25">
      <c r="A196" s="71">
        <v>46151</v>
      </c>
      <c r="B196" s="70" t="s">
        <v>78</v>
      </c>
      <c r="C196" s="70" t="s">
        <v>80</v>
      </c>
      <c r="D196" s="70">
        <v>2</v>
      </c>
      <c r="E196" s="70">
        <v>105</v>
      </c>
      <c r="F196" s="70">
        <v>32</v>
      </c>
      <c r="G196" s="70">
        <v>6</v>
      </c>
      <c r="H196" s="70"/>
      <c r="I196" s="70">
        <v>19</v>
      </c>
      <c r="J196" s="70"/>
      <c r="K196" s="70">
        <v>10</v>
      </c>
      <c r="L196" s="70"/>
      <c r="M196" s="70">
        <v>32</v>
      </c>
      <c r="N196" s="70"/>
      <c r="O196" s="70">
        <v>22</v>
      </c>
      <c r="P196" s="70">
        <v>32</v>
      </c>
      <c r="Q196" s="70"/>
      <c r="R196" s="70">
        <v>3</v>
      </c>
      <c r="S196" s="70"/>
      <c r="T196" s="70">
        <v>21</v>
      </c>
      <c r="U196" s="70"/>
      <c r="V196" s="70">
        <f>43+18+22</f>
        <v>83</v>
      </c>
      <c r="W196" s="70"/>
      <c r="X196" s="70"/>
      <c r="Y196" s="70"/>
      <c r="Z196" s="70"/>
      <c r="AA196" s="70"/>
      <c r="AB196" s="70">
        <f>SUM(E196:AA196)</f>
        <v>365</v>
      </c>
      <c r="AC196" s="70">
        <f>AD196-AB196</f>
        <v>635</v>
      </c>
      <c r="AD196" s="70">
        <f>365+635</f>
        <v>1000</v>
      </c>
      <c r="AE196" s="69">
        <f>(AB196/AD196)</f>
        <v>0.36499999999999999</v>
      </c>
      <c r="AF196" s="68" t="s">
        <v>71</v>
      </c>
    </row>
    <row r="197" spans="1:32" s="67" customFormat="1" ht="30" customHeight="1" x14ac:dyDescent="0.25">
      <c r="A197" s="71">
        <v>46151</v>
      </c>
      <c r="B197" s="70" t="s">
        <v>78</v>
      </c>
      <c r="C197" s="70" t="s">
        <v>79</v>
      </c>
      <c r="D197" s="70">
        <v>3</v>
      </c>
      <c r="E197" s="70"/>
      <c r="F197" s="70">
        <v>4</v>
      </c>
      <c r="G197" s="70"/>
      <c r="H197" s="70"/>
      <c r="I197" s="70"/>
      <c r="J197" s="70"/>
      <c r="K197" s="70">
        <v>2</v>
      </c>
      <c r="L197" s="70"/>
      <c r="M197" s="70"/>
      <c r="N197" s="70"/>
      <c r="O197" s="70"/>
      <c r="P197" s="70">
        <v>1</v>
      </c>
      <c r="Q197" s="70"/>
      <c r="R197" s="70">
        <v>1</v>
      </c>
      <c r="S197" s="70"/>
      <c r="T197" s="70">
        <v>5</v>
      </c>
      <c r="U197" s="70"/>
      <c r="V197" s="70">
        <f>2</f>
        <v>2</v>
      </c>
      <c r="W197" s="70"/>
      <c r="X197" s="70"/>
      <c r="Y197" s="70"/>
      <c r="Z197" s="70"/>
      <c r="AA197" s="70"/>
      <c r="AB197" s="70">
        <f>SUM(E197:AA197)</f>
        <v>15</v>
      </c>
      <c r="AC197" s="70">
        <f>AD197-AB197</f>
        <v>30</v>
      </c>
      <c r="AD197" s="70">
        <f>15+30</f>
        <v>45</v>
      </c>
      <c r="AE197" s="69">
        <f>(AB197/AD197)</f>
        <v>0.33333333333333331</v>
      </c>
      <c r="AF197" s="68" t="s">
        <v>71</v>
      </c>
    </row>
    <row r="198" spans="1:32" s="67" customFormat="1" ht="30" customHeight="1" x14ac:dyDescent="0.25">
      <c r="A198" s="71">
        <v>46151</v>
      </c>
      <c r="B198" s="70" t="s">
        <v>1</v>
      </c>
      <c r="C198" s="70" t="s">
        <v>16</v>
      </c>
      <c r="D198" s="70">
        <v>4</v>
      </c>
      <c r="E198" s="70">
        <v>165</v>
      </c>
      <c r="F198" s="70">
        <v>8</v>
      </c>
      <c r="G198" s="70"/>
      <c r="H198" s="70"/>
      <c r="I198" s="70"/>
      <c r="J198" s="70"/>
      <c r="K198" s="70"/>
      <c r="L198" s="70"/>
      <c r="M198" s="70">
        <v>98</v>
      </c>
      <c r="N198" s="70"/>
      <c r="O198" s="70"/>
      <c r="P198" s="70">
        <v>39</v>
      </c>
      <c r="Q198" s="70"/>
      <c r="R198" s="70">
        <v>55</v>
      </c>
      <c r="S198" s="70">
        <v>5</v>
      </c>
      <c r="T198" s="70">
        <v>10</v>
      </c>
      <c r="U198" s="70"/>
      <c r="V198" s="70">
        <f>80+5+10</f>
        <v>95</v>
      </c>
      <c r="W198" s="70"/>
      <c r="X198" s="70"/>
      <c r="Y198" s="70">
        <v>10</v>
      </c>
      <c r="Z198" s="70"/>
      <c r="AA198" s="70">
        <v>25</v>
      </c>
      <c r="AB198" s="70">
        <f>SUM(E198:AA198)</f>
        <v>510</v>
      </c>
      <c r="AC198" s="70">
        <f>AD198-AB198</f>
        <v>1020</v>
      </c>
      <c r="AD198" s="70">
        <f>510+1020</f>
        <v>1530</v>
      </c>
      <c r="AE198" s="69">
        <f>(AB198/AD198)</f>
        <v>0.33333333333333331</v>
      </c>
      <c r="AF198" s="68" t="s">
        <v>71</v>
      </c>
    </row>
    <row r="199" spans="1:32" s="67" customFormat="1" ht="30" customHeight="1" x14ac:dyDescent="0.25">
      <c r="A199" s="71">
        <v>46151</v>
      </c>
      <c r="B199" s="70" t="s">
        <v>1</v>
      </c>
      <c r="C199" s="70" t="s">
        <v>16</v>
      </c>
      <c r="D199" s="70">
        <v>5</v>
      </c>
      <c r="E199" s="70">
        <v>142</v>
      </c>
      <c r="F199" s="70">
        <v>90</v>
      </c>
      <c r="G199" s="70">
        <v>45</v>
      </c>
      <c r="H199" s="70">
        <v>55</v>
      </c>
      <c r="I199" s="70">
        <v>15</v>
      </c>
      <c r="J199" s="70"/>
      <c r="K199" s="70"/>
      <c r="L199" s="70"/>
      <c r="M199" s="70">
        <v>250</v>
      </c>
      <c r="N199" s="70"/>
      <c r="O199" s="70"/>
      <c r="P199" s="70">
        <v>112</v>
      </c>
      <c r="Q199" s="70"/>
      <c r="R199" s="70">
        <v>45</v>
      </c>
      <c r="S199" s="70"/>
      <c r="T199" s="70"/>
      <c r="U199" s="70"/>
      <c r="V199" s="70">
        <v>104</v>
      </c>
      <c r="W199" s="70"/>
      <c r="X199" s="70"/>
      <c r="Y199" s="70"/>
      <c r="Z199" s="70"/>
      <c r="AA199" s="70"/>
      <c r="AB199" s="70">
        <f>SUM(E199:AA199)</f>
        <v>858</v>
      </c>
      <c r="AC199" s="70">
        <f>AD199-AB199</f>
        <v>1075</v>
      </c>
      <c r="AD199" s="70">
        <f>858+1075</f>
        <v>1933</v>
      </c>
      <c r="AE199" s="69">
        <f>(AB199/AD199)</f>
        <v>0.44386963269529228</v>
      </c>
      <c r="AF199" s="68" t="s">
        <v>71</v>
      </c>
    </row>
    <row r="200" spans="1:32" s="67" customFormat="1" ht="30" customHeight="1" x14ac:dyDescent="0.25">
      <c r="A200" s="71">
        <v>46151</v>
      </c>
      <c r="B200" s="70" t="s">
        <v>1</v>
      </c>
      <c r="C200" s="70" t="s">
        <v>15</v>
      </c>
      <c r="D200" s="70">
        <v>6</v>
      </c>
      <c r="E200" s="70">
        <v>144</v>
      </c>
      <c r="F200" s="70">
        <v>27</v>
      </c>
      <c r="G200" s="70">
        <v>20</v>
      </c>
      <c r="H200" s="70">
        <v>60</v>
      </c>
      <c r="I200" s="70"/>
      <c r="J200" s="70">
        <v>6</v>
      </c>
      <c r="K200" s="70">
        <v>12</v>
      </c>
      <c r="L200" s="70"/>
      <c r="M200" s="70">
        <v>53</v>
      </c>
      <c r="N200" s="70">
        <v>10</v>
      </c>
      <c r="O200" s="70"/>
      <c r="P200" s="70">
        <v>90</v>
      </c>
      <c r="Q200" s="70"/>
      <c r="R200" s="70">
        <v>30</v>
      </c>
      <c r="S200" s="70">
        <v>5</v>
      </c>
      <c r="T200" s="70">
        <v>28</v>
      </c>
      <c r="U200" s="70"/>
      <c r="V200" s="70">
        <f>35+10+5</f>
        <v>50</v>
      </c>
      <c r="W200" s="70"/>
      <c r="X200" s="70"/>
      <c r="Y200" s="70"/>
      <c r="Z200" s="70"/>
      <c r="AA200" s="70"/>
      <c r="AB200" s="70">
        <f>SUM(E200:AA200)</f>
        <v>535</v>
      </c>
      <c r="AC200" s="70">
        <f>AD200-AB200</f>
        <v>800</v>
      </c>
      <c r="AD200" s="70">
        <f>535+800</f>
        <v>1335</v>
      </c>
      <c r="AE200" s="69">
        <f>(AB200/AD200)</f>
        <v>0.40074906367041196</v>
      </c>
      <c r="AF200" s="68" t="s">
        <v>71</v>
      </c>
    </row>
    <row r="201" spans="1:32" s="67" customFormat="1" ht="30" customHeight="1" x14ac:dyDescent="0.25">
      <c r="A201" s="71">
        <v>46151</v>
      </c>
      <c r="B201" s="70" t="s">
        <v>1</v>
      </c>
      <c r="C201" s="70" t="s">
        <v>14</v>
      </c>
      <c r="D201" s="70">
        <v>7</v>
      </c>
      <c r="E201" s="70">
        <v>127</v>
      </c>
      <c r="F201" s="70">
        <v>10</v>
      </c>
      <c r="G201" s="70">
        <v>2</v>
      </c>
      <c r="H201" s="70">
        <v>30</v>
      </c>
      <c r="I201" s="70"/>
      <c r="J201" s="70"/>
      <c r="K201" s="70"/>
      <c r="L201" s="70"/>
      <c r="M201" s="70">
        <v>3</v>
      </c>
      <c r="N201" s="70">
        <v>10</v>
      </c>
      <c r="O201" s="70"/>
      <c r="P201" s="70">
        <v>50</v>
      </c>
      <c r="Q201" s="70">
        <v>10</v>
      </c>
      <c r="R201" s="70">
        <v>10</v>
      </c>
      <c r="S201" s="70"/>
      <c r="T201" s="70"/>
      <c r="U201" s="70"/>
      <c r="V201" s="70">
        <f>5</f>
        <v>5</v>
      </c>
      <c r="W201" s="70"/>
      <c r="X201" s="70"/>
      <c r="Y201" s="70"/>
      <c r="Z201" s="70"/>
      <c r="AA201" s="70"/>
      <c r="AB201" s="70">
        <f>SUM(E201:AA201)</f>
        <v>257</v>
      </c>
      <c r="AC201" s="70">
        <f>AD201-AB201</f>
        <v>488</v>
      </c>
      <c r="AD201" s="70">
        <f>257+488</f>
        <v>745</v>
      </c>
      <c r="AE201" s="69">
        <f>(AB201/AD201)</f>
        <v>0.34496644295302015</v>
      </c>
      <c r="AF201" s="68" t="s">
        <v>71</v>
      </c>
    </row>
    <row r="202" spans="1:32" s="67" customFormat="1" ht="30" customHeight="1" x14ac:dyDescent="0.25">
      <c r="A202" s="71">
        <v>46151</v>
      </c>
      <c r="B202" s="70" t="s">
        <v>73</v>
      </c>
      <c r="C202" s="70" t="s">
        <v>82</v>
      </c>
      <c r="D202" s="70">
        <v>8</v>
      </c>
      <c r="E202" s="70">
        <f>20+5+15+50</f>
        <v>90</v>
      </c>
      <c r="F202" s="70">
        <f>5+11+15+3+3+5</f>
        <v>42</v>
      </c>
      <c r="G202" s="70">
        <f>7+15+7</f>
        <v>29</v>
      </c>
      <c r="H202" s="70">
        <f>30+2</f>
        <v>32</v>
      </c>
      <c r="I202" s="70"/>
      <c r="J202" s="70"/>
      <c r="K202" s="70"/>
      <c r="L202" s="70"/>
      <c r="M202" s="70">
        <f>10</f>
        <v>10</v>
      </c>
      <c r="N202" s="70"/>
      <c r="O202" s="70"/>
      <c r="P202" s="70">
        <f>23+5+13+10</f>
        <v>51</v>
      </c>
      <c r="Q202" s="70"/>
      <c r="R202" s="70"/>
      <c r="S202" s="70">
        <f>10</f>
        <v>10</v>
      </c>
      <c r="T202" s="70">
        <f>7+10+2+54</f>
        <v>73</v>
      </c>
      <c r="U202" s="70"/>
      <c r="V202" s="70">
        <f>97+10+10</f>
        <v>117</v>
      </c>
      <c r="W202" s="70"/>
      <c r="X202" s="70"/>
      <c r="Y202" s="70"/>
      <c r="Z202" s="70"/>
      <c r="AA202" s="70"/>
      <c r="AB202" s="70">
        <f>SUM(E202:AA202)</f>
        <v>454</v>
      </c>
      <c r="AC202" s="70">
        <f>AD202-AB202</f>
        <v>680</v>
      </c>
      <c r="AD202" s="70">
        <f>454+680</f>
        <v>1134</v>
      </c>
      <c r="AE202" s="69">
        <f>(AB202/AD202)</f>
        <v>0.400352733686067</v>
      </c>
      <c r="AF202" s="68" t="s">
        <v>71</v>
      </c>
    </row>
    <row r="203" spans="1:32" s="67" customFormat="1" ht="30" customHeight="1" x14ac:dyDescent="0.25">
      <c r="A203" s="71">
        <v>46151</v>
      </c>
      <c r="B203" s="70" t="s">
        <v>1</v>
      </c>
      <c r="C203" s="70" t="s">
        <v>12</v>
      </c>
      <c r="D203" s="70">
        <v>9</v>
      </c>
      <c r="E203" s="70">
        <v>96</v>
      </c>
      <c r="F203" s="70">
        <v>45</v>
      </c>
      <c r="G203" s="70">
        <v>17</v>
      </c>
      <c r="H203" s="70">
        <v>30</v>
      </c>
      <c r="I203" s="70"/>
      <c r="J203" s="70">
        <v>50</v>
      </c>
      <c r="K203" s="70"/>
      <c r="L203" s="70"/>
      <c r="M203" s="70">
        <v>60</v>
      </c>
      <c r="N203" s="70">
        <v>11</v>
      </c>
      <c r="O203" s="70"/>
      <c r="P203" s="70">
        <v>32</v>
      </c>
      <c r="Q203" s="70"/>
      <c r="R203" s="70"/>
      <c r="S203" s="70">
        <v>45</v>
      </c>
      <c r="T203" s="70">
        <v>5</v>
      </c>
      <c r="U203" s="70"/>
      <c r="V203" s="70">
        <f>12+42+5</f>
        <v>59</v>
      </c>
      <c r="W203" s="70"/>
      <c r="X203" s="70"/>
      <c r="Y203" s="70"/>
      <c r="Z203" s="70"/>
      <c r="AA203" s="70"/>
      <c r="AB203" s="70">
        <f>SUM(E203:AA203)</f>
        <v>450</v>
      </c>
      <c r="AC203" s="70">
        <f>AD203-AB203</f>
        <v>1060</v>
      </c>
      <c r="AD203" s="70">
        <f>450+1060</f>
        <v>1510</v>
      </c>
      <c r="AE203" s="69">
        <f>(AB203/AD203)</f>
        <v>0.29801324503311261</v>
      </c>
      <c r="AF203" s="68" t="s">
        <v>71</v>
      </c>
    </row>
    <row r="204" spans="1:32" s="67" customFormat="1" ht="30" customHeight="1" x14ac:dyDescent="0.25">
      <c r="A204" s="71">
        <v>46151</v>
      </c>
      <c r="B204" s="70" t="s">
        <v>1</v>
      </c>
      <c r="C204" s="70" t="s">
        <v>0</v>
      </c>
      <c r="D204" s="70">
        <v>10</v>
      </c>
      <c r="E204" s="70">
        <v>25</v>
      </c>
      <c r="F204" s="70">
        <v>3</v>
      </c>
      <c r="G204" s="70">
        <v>39</v>
      </c>
      <c r="H204" s="70">
        <v>5</v>
      </c>
      <c r="I204" s="70"/>
      <c r="J204" s="70"/>
      <c r="K204" s="70"/>
      <c r="L204" s="70">
        <v>5</v>
      </c>
      <c r="M204" s="70"/>
      <c r="N204" s="70"/>
      <c r="O204" s="70"/>
      <c r="P204" s="70">
        <v>3</v>
      </c>
      <c r="Q204" s="70"/>
      <c r="R204" s="70"/>
      <c r="S204" s="70"/>
      <c r="T204" s="70"/>
      <c r="U204" s="70"/>
      <c r="V204" s="70">
        <f>11+46</f>
        <v>57</v>
      </c>
      <c r="W204" s="70"/>
      <c r="X204" s="70"/>
      <c r="Y204" s="70"/>
      <c r="Z204" s="70"/>
      <c r="AA204" s="70"/>
      <c r="AB204" s="70">
        <f>SUM(E204:AA204)</f>
        <v>137</v>
      </c>
      <c r="AC204" s="70">
        <f>AD204-AB204</f>
        <v>290</v>
      </c>
      <c r="AD204" s="70">
        <f>137+290</f>
        <v>427</v>
      </c>
      <c r="AE204" s="69">
        <f>(AB204/AD204)</f>
        <v>0.32084309133489464</v>
      </c>
      <c r="AF204" s="68" t="s">
        <v>71</v>
      </c>
    </row>
    <row r="205" spans="1:32" s="67" customFormat="1" ht="30" customHeight="1" x14ac:dyDescent="0.25">
      <c r="A205" s="71">
        <v>46151</v>
      </c>
      <c r="B205" s="70" t="s">
        <v>1</v>
      </c>
      <c r="C205" s="70" t="s">
        <v>10</v>
      </c>
      <c r="D205" s="70">
        <v>11</v>
      </c>
      <c r="E205" s="70">
        <v>48</v>
      </c>
      <c r="F205" s="70">
        <v>29</v>
      </c>
      <c r="G205" s="70">
        <v>13</v>
      </c>
      <c r="H205" s="70"/>
      <c r="I205" s="70"/>
      <c r="J205" s="70"/>
      <c r="K205" s="70"/>
      <c r="L205" s="70"/>
      <c r="M205" s="70">
        <v>25</v>
      </c>
      <c r="N205" s="70"/>
      <c r="O205" s="70"/>
      <c r="P205" s="70">
        <v>35</v>
      </c>
      <c r="Q205" s="70"/>
      <c r="R205" s="70"/>
      <c r="S205" s="70"/>
      <c r="T205" s="70"/>
      <c r="U205" s="70"/>
      <c r="V205" s="70">
        <f>11+22</f>
        <v>33</v>
      </c>
      <c r="W205" s="70"/>
      <c r="X205" s="70"/>
      <c r="Y205" s="70"/>
      <c r="Z205" s="70"/>
      <c r="AA205" s="70">
        <v>27</v>
      </c>
      <c r="AB205" s="70">
        <f>SUM(E205:AA205)</f>
        <v>210</v>
      </c>
      <c r="AC205" s="70">
        <f>AD205-AB205</f>
        <v>550</v>
      </c>
      <c r="AD205" s="70">
        <f>210+550</f>
        <v>760</v>
      </c>
      <c r="AE205" s="69">
        <f>(AB205/AD205)</f>
        <v>0.27631578947368424</v>
      </c>
      <c r="AF205" s="68" t="s">
        <v>71</v>
      </c>
    </row>
    <row r="206" spans="1:32" s="67" customFormat="1" ht="30" customHeight="1" x14ac:dyDescent="0.25">
      <c r="A206" s="71">
        <v>46151</v>
      </c>
      <c r="B206" s="70" t="s">
        <v>78</v>
      </c>
      <c r="C206" s="70" t="s">
        <v>18</v>
      </c>
      <c r="D206" s="70">
        <v>13</v>
      </c>
      <c r="E206" s="70">
        <v>33</v>
      </c>
      <c r="F206" s="70">
        <v>17</v>
      </c>
      <c r="G206" s="70">
        <v>76</v>
      </c>
      <c r="H206" s="70">
        <v>45</v>
      </c>
      <c r="I206" s="70">
        <v>15</v>
      </c>
      <c r="J206" s="70"/>
      <c r="K206" s="70"/>
      <c r="L206" s="70"/>
      <c r="M206" s="70">
        <v>7</v>
      </c>
      <c r="N206" s="70"/>
      <c r="O206" s="70"/>
      <c r="P206" s="70">
        <v>71</v>
      </c>
      <c r="Q206" s="70">
        <v>8</v>
      </c>
      <c r="R206" s="70"/>
      <c r="S206" s="70"/>
      <c r="T206" s="70"/>
      <c r="U206" s="70"/>
      <c r="V206" s="70">
        <f>22+61+10</f>
        <v>93</v>
      </c>
      <c r="W206" s="70"/>
      <c r="X206" s="70"/>
      <c r="Y206" s="70"/>
      <c r="Z206" s="70"/>
      <c r="AA206" s="70"/>
      <c r="AB206" s="70">
        <f>SUM(E206:AA206)</f>
        <v>365</v>
      </c>
      <c r="AC206" s="70">
        <f>AD206-AB206</f>
        <v>900</v>
      </c>
      <c r="AD206" s="70">
        <f>365+900</f>
        <v>1265</v>
      </c>
      <c r="AE206" s="69">
        <f>(AB206/AD206)</f>
        <v>0.28853754940711462</v>
      </c>
      <c r="AF206" s="68" t="s">
        <v>71</v>
      </c>
    </row>
    <row r="207" spans="1:32" s="67" customFormat="1" ht="30" customHeight="1" x14ac:dyDescent="0.25">
      <c r="A207" s="71">
        <v>46151</v>
      </c>
      <c r="B207" s="70" t="s">
        <v>1</v>
      </c>
      <c r="C207" s="70" t="s">
        <v>8</v>
      </c>
      <c r="D207" s="70">
        <v>14</v>
      </c>
      <c r="E207" s="70">
        <v>15</v>
      </c>
      <c r="F207" s="70">
        <v>12</v>
      </c>
      <c r="G207" s="70"/>
      <c r="H207" s="70"/>
      <c r="I207" s="70"/>
      <c r="J207" s="70"/>
      <c r="K207" s="70">
        <v>5</v>
      </c>
      <c r="L207" s="70">
        <v>15</v>
      </c>
      <c r="M207" s="70">
        <v>36</v>
      </c>
      <c r="N207" s="70"/>
      <c r="O207" s="70">
        <v>18</v>
      </c>
      <c r="P207" s="70">
        <v>5</v>
      </c>
      <c r="Q207" s="70"/>
      <c r="R207" s="70"/>
      <c r="S207" s="70"/>
      <c r="T207" s="70">
        <v>5</v>
      </c>
      <c r="U207" s="70"/>
      <c r="V207" s="70">
        <f>6+4</f>
        <v>10</v>
      </c>
      <c r="W207" s="70"/>
      <c r="X207" s="70"/>
      <c r="Y207" s="70"/>
      <c r="Z207" s="70"/>
      <c r="AA207" s="70">
        <f>7+7</f>
        <v>14</v>
      </c>
      <c r="AB207" s="70">
        <f>SUM(E207:AA207)</f>
        <v>135</v>
      </c>
      <c r="AC207" s="70">
        <f>AD207-AB207</f>
        <v>420</v>
      </c>
      <c r="AD207" s="70">
        <f>135+420</f>
        <v>555</v>
      </c>
      <c r="AE207" s="69">
        <f>(AB207/AD207)</f>
        <v>0.24324324324324326</v>
      </c>
      <c r="AF207" s="68" t="s">
        <v>71</v>
      </c>
    </row>
    <row r="208" spans="1:32" s="67" customFormat="1" ht="30" customHeight="1" x14ac:dyDescent="0.25">
      <c r="A208" s="71">
        <v>46151</v>
      </c>
      <c r="B208" s="70" t="s">
        <v>73</v>
      </c>
      <c r="C208" s="70" t="s">
        <v>7</v>
      </c>
      <c r="D208" s="70">
        <v>15</v>
      </c>
      <c r="E208" s="70"/>
      <c r="F208" s="70">
        <f>9+4+12+3</f>
        <v>28</v>
      </c>
      <c r="G208" s="70"/>
      <c r="H208" s="70"/>
      <c r="I208" s="70"/>
      <c r="J208" s="70"/>
      <c r="K208" s="70">
        <f>11</f>
        <v>11</v>
      </c>
      <c r="L208" s="70">
        <v>4</v>
      </c>
      <c r="M208" s="70">
        <v>33</v>
      </c>
      <c r="N208" s="70"/>
      <c r="O208" s="70"/>
      <c r="P208" s="70"/>
      <c r="Q208" s="70"/>
      <c r="R208" s="70"/>
      <c r="S208" s="70"/>
      <c r="T208" s="70">
        <f>4</f>
        <v>4</v>
      </c>
      <c r="U208" s="70"/>
      <c r="V208" s="70">
        <f>8+10</f>
        <v>18</v>
      </c>
      <c r="W208" s="70"/>
      <c r="X208" s="70"/>
      <c r="Y208" s="70"/>
      <c r="Z208" s="70"/>
      <c r="AA208" s="70"/>
      <c r="AB208" s="70">
        <f>SUM(E208:AA208)</f>
        <v>98</v>
      </c>
      <c r="AC208" s="70">
        <f>AD208-AB208</f>
        <v>145</v>
      </c>
      <c r="AD208" s="70">
        <f>98+145</f>
        <v>243</v>
      </c>
      <c r="AE208" s="69">
        <f>(AB208/AD208)</f>
        <v>0.40329218106995884</v>
      </c>
      <c r="AF208" s="68" t="s">
        <v>71</v>
      </c>
    </row>
    <row r="209" spans="1:32" s="67" customFormat="1" ht="30" customHeight="1" x14ac:dyDescent="0.25">
      <c r="A209" s="71">
        <v>46151</v>
      </c>
      <c r="B209" s="70" t="s">
        <v>1</v>
      </c>
      <c r="C209" s="70" t="s">
        <v>10</v>
      </c>
      <c r="D209" s="70">
        <v>16</v>
      </c>
      <c r="E209" s="70">
        <v>54</v>
      </c>
      <c r="F209" s="70">
        <v>12</v>
      </c>
      <c r="G209" s="70">
        <v>34</v>
      </c>
      <c r="H209" s="70"/>
      <c r="I209" s="70"/>
      <c r="J209" s="70"/>
      <c r="K209" s="70"/>
      <c r="L209" s="70"/>
      <c r="M209" s="70">
        <v>56</v>
      </c>
      <c r="N209" s="70"/>
      <c r="O209" s="70"/>
      <c r="P209" s="70">
        <v>60</v>
      </c>
      <c r="Q209" s="70"/>
      <c r="R209" s="70"/>
      <c r="S209" s="70"/>
      <c r="T209" s="70">
        <v>26</v>
      </c>
      <c r="U209" s="70"/>
      <c r="V209" s="70">
        <f>23+4</f>
        <v>27</v>
      </c>
      <c r="W209" s="70"/>
      <c r="X209" s="70"/>
      <c r="Y209" s="70"/>
      <c r="Z209" s="70"/>
      <c r="AA209" s="70">
        <v>4</v>
      </c>
      <c r="AB209" s="70">
        <f>SUM(E209:AA209)</f>
        <v>273</v>
      </c>
      <c r="AC209" s="70">
        <f>AD209-AB209</f>
        <v>550</v>
      </c>
      <c r="AD209" s="70">
        <f>273+550</f>
        <v>823</v>
      </c>
      <c r="AE209" s="69">
        <f>(AB209/AD209)</f>
        <v>0.33171324422843257</v>
      </c>
      <c r="AF209" s="68" t="s">
        <v>71</v>
      </c>
    </row>
    <row r="210" spans="1:32" s="67" customFormat="1" ht="30" customHeight="1" x14ac:dyDescent="0.25">
      <c r="A210" s="71">
        <v>46151</v>
      </c>
      <c r="B210" s="70" t="s">
        <v>73</v>
      </c>
      <c r="C210" s="70" t="s">
        <v>12</v>
      </c>
      <c r="D210" s="70">
        <v>17</v>
      </c>
      <c r="E210" s="70">
        <v>83</v>
      </c>
      <c r="F210" s="70"/>
      <c r="G210" s="70">
        <v>4</v>
      </c>
      <c r="H210" s="70">
        <v>10</v>
      </c>
      <c r="I210" s="70">
        <v>10</v>
      </c>
      <c r="J210" s="70"/>
      <c r="K210" s="70"/>
      <c r="L210" s="70"/>
      <c r="M210" s="70">
        <v>24</v>
      </c>
      <c r="N210" s="70"/>
      <c r="O210" s="70"/>
      <c r="P210" s="70">
        <v>15</v>
      </c>
      <c r="Q210" s="70"/>
      <c r="R210" s="70"/>
      <c r="S210" s="70"/>
      <c r="T210" s="70"/>
      <c r="U210" s="70"/>
      <c r="V210" s="70">
        <v>39</v>
      </c>
      <c r="W210" s="70"/>
      <c r="X210" s="70"/>
      <c r="Y210" s="70">
        <v>10</v>
      </c>
      <c r="Z210" s="70"/>
      <c r="AA210" s="70"/>
      <c r="AB210" s="70">
        <f>SUM(E210:AA210)</f>
        <v>195</v>
      </c>
      <c r="AC210" s="70">
        <f>AD210-AB210</f>
        <v>1065</v>
      </c>
      <c r="AD210" s="70">
        <f>195+1065</f>
        <v>1260</v>
      </c>
      <c r="AE210" s="69">
        <f>(AB210/AD210)</f>
        <v>0.15476190476190477</v>
      </c>
      <c r="AF210" s="68" t="s">
        <v>71</v>
      </c>
    </row>
    <row r="211" spans="1:32" s="67" customFormat="1" ht="30" customHeight="1" x14ac:dyDescent="0.25">
      <c r="A211" s="71">
        <v>46151</v>
      </c>
      <c r="B211" s="70" t="s">
        <v>1</v>
      </c>
      <c r="C211" s="70" t="s">
        <v>6</v>
      </c>
      <c r="D211" s="70">
        <v>18</v>
      </c>
      <c r="E211" s="70">
        <v>53</v>
      </c>
      <c r="F211" s="70">
        <v>14</v>
      </c>
      <c r="G211" s="70"/>
      <c r="H211" s="70">
        <v>22</v>
      </c>
      <c r="I211" s="70"/>
      <c r="J211" s="70"/>
      <c r="K211" s="70">
        <v>16</v>
      </c>
      <c r="L211" s="70"/>
      <c r="M211" s="70">
        <v>52</v>
      </c>
      <c r="N211" s="70"/>
      <c r="O211" s="70">
        <v>6</v>
      </c>
      <c r="P211" s="70">
        <v>10</v>
      </c>
      <c r="Q211" s="70"/>
      <c r="R211" s="70"/>
      <c r="S211" s="70">
        <v>8</v>
      </c>
      <c r="T211" s="70">
        <v>8</v>
      </c>
      <c r="U211" s="70"/>
      <c r="V211" s="70">
        <f>19+15</f>
        <v>34</v>
      </c>
      <c r="W211" s="70"/>
      <c r="X211" s="70"/>
      <c r="Y211" s="70"/>
      <c r="Z211" s="70"/>
      <c r="AA211" s="70"/>
      <c r="AB211" s="70">
        <f>SUM(E211:AA211)</f>
        <v>223</v>
      </c>
      <c r="AC211" s="70">
        <f>AD211-AB211</f>
        <v>625</v>
      </c>
      <c r="AD211" s="70">
        <f>223+625</f>
        <v>848</v>
      </c>
      <c r="AE211" s="69">
        <f>(AB211/AD211)</f>
        <v>0.26297169811320753</v>
      </c>
      <c r="AF211" s="68" t="s">
        <v>71</v>
      </c>
    </row>
    <row r="212" spans="1:32" s="67" customFormat="1" ht="30" customHeight="1" x14ac:dyDescent="0.25">
      <c r="A212" s="71">
        <v>46151</v>
      </c>
      <c r="B212" s="70" t="s">
        <v>1</v>
      </c>
      <c r="C212" s="70" t="s">
        <v>2</v>
      </c>
      <c r="D212" s="70">
        <v>19</v>
      </c>
      <c r="E212" s="70">
        <v>16</v>
      </c>
      <c r="F212" s="70">
        <v>12</v>
      </c>
      <c r="G212" s="70">
        <v>28</v>
      </c>
      <c r="H212" s="70">
        <v>3</v>
      </c>
      <c r="I212" s="70"/>
      <c r="J212" s="70"/>
      <c r="K212" s="70"/>
      <c r="L212" s="70"/>
      <c r="M212" s="70"/>
      <c r="N212" s="70">
        <v>7</v>
      </c>
      <c r="O212" s="70"/>
      <c r="P212" s="70">
        <v>12</v>
      </c>
      <c r="Q212" s="70"/>
      <c r="R212" s="70"/>
      <c r="S212" s="70"/>
      <c r="T212" s="70">
        <v>18</v>
      </c>
      <c r="U212" s="70"/>
      <c r="V212" s="70">
        <f>34+6</f>
        <v>40</v>
      </c>
      <c r="W212" s="70"/>
      <c r="X212" s="70"/>
      <c r="Y212" s="70"/>
      <c r="Z212" s="70"/>
      <c r="AA212" s="70"/>
      <c r="AB212" s="70">
        <f>SUM(E212:AA212)</f>
        <v>136</v>
      </c>
      <c r="AC212" s="70">
        <f>AD212-AB212</f>
        <v>510</v>
      </c>
      <c r="AD212" s="70">
        <f>136+510</f>
        <v>646</v>
      </c>
      <c r="AE212" s="69">
        <f>(AB212/AD212)</f>
        <v>0.21052631578947367</v>
      </c>
      <c r="AF212" s="68" t="s">
        <v>71</v>
      </c>
    </row>
    <row r="213" spans="1:32" s="67" customFormat="1" ht="30" customHeight="1" x14ac:dyDescent="0.25">
      <c r="A213" s="71">
        <v>46151</v>
      </c>
      <c r="B213" s="70" t="s">
        <v>1</v>
      </c>
      <c r="C213" s="70" t="s">
        <v>9</v>
      </c>
      <c r="D213" s="70">
        <v>20</v>
      </c>
      <c r="E213" s="70">
        <v>29</v>
      </c>
      <c r="F213" s="70">
        <v>10</v>
      </c>
      <c r="G213" s="70"/>
      <c r="H213" s="70"/>
      <c r="I213" s="70"/>
      <c r="J213" s="70"/>
      <c r="K213" s="70">
        <v>23</v>
      </c>
      <c r="L213" s="70"/>
      <c r="M213" s="70">
        <v>10</v>
      </c>
      <c r="N213" s="70"/>
      <c r="O213" s="70"/>
      <c r="P213" s="70">
        <v>20</v>
      </c>
      <c r="Q213" s="70"/>
      <c r="R213" s="70"/>
      <c r="S213" s="70"/>
      <c r="T213" s="70">
        <v>35</v>
      </c>
      <c r="U213" s="70"/>
      <c r="V213" s="70">
        <v>20</v>
      </c>
      <c r="W213" s="70"/>
      <c r="X213" s="70"/>
      <c r="Y213" s="70"/>
      <c r="Z213" s="70"/>
      <c r="AA213" s="70"/>
      <c r="AB213" s="70">
        <f>SUM(E213:AA213)</f>
        <v>147</v>
      </c>
      <c r="AC213" s="70">
        <f>AD213-AB213</f>
        <v>410</v>
      </c>
      <c r="AD213" s="70">
        <f>147+410</f>
        <v>557</v>
      </c>
      <c r="AE213" s="69">
        <f>(AB213/AD213)</f>
        <v>0.26391382405745062</v>
      </c>
      <c r="AF213" s="68" t="s">
        <v>71</v>
      </c>
    </row>
    <row r="214" spans="1:32" s="67" customFormat="1" ht="30" customHeight="1" x14ac:dyDescent="0.25">
      <c r="A214" s="71">
        <v>46151</v>
      </c>
      <c r="B214" s="70" t="s">
        <v>1</v>
      </c>
      <c r="C214" s="70" t="s">
        <v>75</v>
      </c>
      <c r="D214" s="70">
        <v>21</v>
      </c>
      <c r="E214" s="70">
        <f>65+37+38</f>
        <v>140</v>
      </c>
      <c r="F214" s="70">
        <f>9+3</f>
        <v>12</v>
      </c>
      <c r="G214" s="70">
        <f>3</f>
        <v>3</v>
      </c>
      <c r="H214" s="70">
        <f>5</f>
        <v>5</v>
      </c>
      <c r="I214" s="70">
        <f>3</f>
        <v>3</v>
      </c>
      <c r="J214" s="70">
        <f>5</f>
        <v>5</v>
      </c>
      <c r="K214" s="70"/>
      <c r="L214" s="70"/>
      <c r="M214" s="70">
        <f>10+13+10</f>
        <v>33</v>
      </c>
      <c r="N214" s="70">
        <f>5</f>
        <v>5</v>
      </c>
      <c r="O214" s="70"/>
      <c r="P214" s="70">
        <f>35+4</f>
        <v>39</v>
      </c>
      <c r="Q214" s="70">
        <f>16</f>
        <v>16</v>
      </c>
      <c r="R214" s="70"/>
      <c r="S214" s="70"/>
      <c r="T214" s="70"/>
      <c r="U214" s="70"/>
      <c r="V214" s="70">
        <f>89</f>
        <v>89</v>
      </c>
      <c r="W214" s="70"/>
      <c r="X214" s="70"/>
      <c r="Y214" s="70"/>
      <c r="Z214" s="70"/>
      <c r="AA214" s="70"/>
      <c r="AB214" s="70">
        <f>SUM(E214:AA214)</f>
        <v>350</v>
      </c>
      <c r="AC214" s="70">
        <f>AD214-AB214</f>
        <v>600</v>
      </c>
      <c r="AD214" s="70">
        <f>350+600</f>
        <v>950</v>
      </c>
      <c r="AE214" s="69">
        <f>(AB214/AD214)</f>
        <v>0.36842105263157893</v>
      </c>
      <c r="AF214" s="68" t="s">
        <v>71</v>
      </c>
    </row>
    <row r="215" spans="1:32" s="67" customFormat="1" ht="30" customHeight="1" x14ac:dyDescent="0.25">
      <c r="A215" s="71">
        <v>46151</v>
      </c>
      <c r="B215" s="70" t="s">
        <v>1</v>
      </c>
      <c r="C215" s="70" t="s">
        <v>8</v>
      </c>
      <c r="D215" s="70">
        <v>22</v>
      </c>
      <c r="E215" s="70">
        <v>38</v>
      </c>
      <c r="F215" s="70">
        <v>9</v>
      </c>
      <c r="G215" s="70">
        <v>18</v>
      </c>
      <c r="H215" s="70">
        <v>37</v>
      </c>
      <c r="I215" s="70"/>
      <c r="J215" s="70">
        <v>5</v>
      </c>
      <c r="K215" s="70"/>
      <c r="L215" s="70">
        <v>26</v>
      </c>
      <c r="M215" s="70">
        <v>80</v>
      </c>
      <c r="N215" s="70"/>
      <c r="O215" s="70">
        <v>13</v>
      </c>
      <c r="P215" s="70">
        <v>31</v>
      </c>
      <c r="Q215" s="70"/>
      <c r="R215" s="70"/>
      <c r="S215" s="70"/>
      <c r="T215" s="70"/>
      <c r="U215" s="70"/>
      <c r="V215" s="70">
        <v>2</v>
      </c>
      <c r="W215" s="70"/>
      <c r="X215" s="70"/>
      <c r="Y215" s="70"/>
      <c r="Z215" s="70"/>
      <c r="AA215" s="70"/>
      <c r="AB215" s="70">
        <f>SUM(E215:AA215)</f>
        <v>259</v>
      </c>
      <c r="AC215" s="70">
        <f>AD215-AB215</f>
        <v>450</v>
      </c>
      <c r="AD215" s="70">
        <f>259+450</f>
        <v>709</v>
      </c>
      <c r="AE215" s="69">
        <f>(AB215/AD215)</f>
        <v>0.36530324400564174</v>
      </c>
      <c r="AF215" s="68" t="s">
        <v>71</v>
      </c>
    </row>
    <row r="216" spans="1:32" s="67" customFormat="1" ht="30" customHeight="1" x14ac:dyDescent="0.25">
      <c r="A216" s="71">
        <v>46151</v>
      </c>
      <c r="B216" s="70" t="s">
        <v>73</v>
      </c>
      <c r="C216" s="70" t="s">
        <v>7</v>
      </c>
      <c r="D216" s="70">
        <v>23</v>
      </c>
      <c r="E216" s="70"/>
      <c r="F216" s="70">
        <v>2</v>
      </c>
      <c r="G216" s="70"/>
      <c r="H216" s="70"/>
      <c r="I216" s="70"/>
      <c r="J216" s="70">
        <v>2</v>
      </c>
      <c r="K216" s="70"/>
      <c r="L216" s="70"/>
      <c r="M216" s="70">
        <v>7</v>
      </c>
      <c r="N216" s="70"/>
      <c r="O216" s="70"/>
      <c r="P216" s="70">
        <v>3</v>
      </c>
      <c r="Q216" s="70"/>
      <c r="R216" s="70"/>
      <c r="S216" s="70"/>
      <c r="T216" s="70"/>
      <c r="U216" s="70"/>
      <c r="V216" s="70">
        <f>3+5</f>
        <v>8</v>
      </c>
      <c r="W216" s="70"/>
      <c r="X216" s="70"/>
      <c r="Y216" s="70"/>
      <c r="Z216" s="70"/>
      <c r="AA216" s="70"/>
      <c r="AB216" s="70">
        <f>SUM(E216:AA216)</f>
        <v>22</v>
      </c>
      <c r="AC216" s="70">
        <f>AD216-AB216</f>
        <v>30</v>
      </c>
      <c r="AD216" s="70">
        <f>22+30</f>
        <v>52</v>
      </c>
      <c r="AE216" s="69">
        <f>(AB216/AD216)</f>
        <v>0.42307692307692307</v>
      </c>
      <c r="AF216" s="68" t="s">
        <v>71</v>
      </c>
    </row>
    <row r="217" spans="1:32" s="67" customFormat="1" ht="30" customHeight="1" x14ac:dyDescent="0.25">
      <c r="A217" s="71">
        <v>46151</v>
      </c>
      <c r="B217" s="70" t="s">
        <v>1</v>
      </c>
      <c r="C217" s="70" t="s">
        <v>6</v>
      </c>
      <c r="D217" s="70">
        <v>24</v>
      </c>
      <c r="E217" s="70">
        <v>40</v>
      </c>
      <c r="F217" s="70">
        <v>4</v>
      </c>
      <c r="G217" s="70"/>
      <c r="H217" s="70">
        <v>3</v>
      </c>
      <c r="I217" s="70"/>
      <c r="J217" s="70"/>
      <c r="K217" s="70"/>
      <c r="L217" s="70"/>
      <c r="M217" s="70">
        <v>17</v>
      </c>
      <c r="N217" s="70"/>
      <c r="O217" s="70"/>
      <c r="P217" s="70">
        <v>13</v>
      </c>
      <c r="Q217" s="70">
        <v>10</v>
      </c>
      <c r="R217" s="70"/>
      <c r="S217" s="70"/>
      <c r="T217" s="70"/>
      <c r="U217" s="70"/>
      <c r="V217" s="70">
        <v>12</v>
      </c>
      <c r="W217" s="70"/>
      <c r="X217" s="70"/>
      <c r="Y217" s="70"/>
      <c r="Z217" s="70"/>
      <c r="AA217" s="70"/>
      <c r="AB217" s="70">
        <f>SUM(E217:AA217)</f>
        <v>99</v>
      </c>
      <c r="AC217" s="70">
        <f>AD217-AB217</f>
        <v>635</v>
      </c>
      <c r="AD217" s="70">
        <f>99+635</f>
        <v>734</v>
      </c>
      <c r="AE217" s="69">
        <f>(AB217/AD217)</f>
        <v>0.13487738419618528</v>
      </c>
      <c r="AF217" s="68" t="s">
        <v>71</v>
      </c>
    </row>
    <row r="218" spans="1:32" s="67" customFormat="1" ht="30" customHeight="1" x14ac:dyDescent="0.25">
      <c r="A218" s="71">
        <v>46151</v>
      </c>
      <c r="B218" s="70" t="s">
        <v>5</v>
      </c>
      <c r="C218" s="70" t="s">
        <v>4</v>
      </c>
      <c r="D218" s="70">
        <v>25</v>
      </c>
      <c r="E218" s="70">
        <v>215</v>
      </c>
      <c r="F218" s="70">
        <v>10</v>
      </c>
      <c r="G218" s="70"/>
      <c r="H218" s="70">
        <v>115</v>
      </c>
      <c r="I218" s="70"/>
      <c r="J218" s="70"/>
      <c r="K218" s="70">
        <v>35</v>
      </c>
      <c r="L218" s="70"/>
      <c r="M218" s="70">
        <v>60</v>
      </c>
      <c r="N218" s="70"/>
      <c r="O218" s="70"/>
      <c r="P218" s="70"/>
      <c r="Q218" s="70"/>
      <c r="R218" s="70"/>
      <c r="S218" s="70"/>
      <c r="T218" s="70"/>
      <c r="U218" s="70"/>
      <c r="V218" s="70">
        <f>25+30</f>
        <v>55</v>
      </c>
      <c r="W218" s="70"/>
      <c r="X218" s="70"/>
      <c r="Y218" s="70"/>
      <c r="Z218" s="70"/>
      <c r="AA218" s="70"/>
      <c r="AB218" s="70">
        <f>SUM(E218:AA218)</f>
        <v>490</v>
      </c>
      <c r="AC218" s="70">
        <f>AD218-AB218</f>
        <v>1250</v>
      </c>
      <c r="AD218" s="70">
        <f>490+1250</f>
        <v>1740</v>
      </c>
      <c r="AE218" s="69">
        <f>(AB218/AD218)</f>
        <v>0.28160919540229884</v>
      </c>
      <c r="AF218" s="68" t="s">
        <v>74</v>
      </c>
    </row>
    <row r="219" spans="1:32" s="67" customFormat="1" ht="30" customHeight="1" x14ac:dyDescent="0.25">
      <c r="A219" s="71">
        <v>46151</v>
      </c>
      <c r="B219" s="70" t="s">
        <v>73</v>
      </c>
      <c r="C219" s="70" t="s">
        <v>22</v>
      </c>
      <c r="D219" s="70">
        <v>26</v>
      </c>
      <c r="E219" s="70">
        <v>50</v>
      </c>
      <c r="F219" s="70">
        <v>70</v>
      </c>
      <c r="G219" s="70">
        <v>5</v>
      </c>
      <c r="H219" s="70">
        <v>5</v>
      </c>
      <c r="I219" s="70"/>
      <c r="J219" s="70"/>
      <c r="K219" s="70"/>
      <c r="L219" s="70"/>
      <c r="M219" s="70">
        <v>70</v>
      </c>
      <c r="N219" s="70"/>
      <c r="O219" s="70"/>
      <c r="P219" s="70"/>
      <c r="Q219" s="70"/>
      <c r="R219" s="70"/>
      <c r="S219" s="70"/>
      <c r="T219" s="70">
        <v>20</v>
      </c>
      <c r="U219" s="70"/>
      <c r="V219" s="70">
        <f>10+10</f>
        <v>20</v>
      </c>
      <c r="W219" s="70"/>
      <c r="X219" s="70"/>
      <c r="Y219" s="70"/>
      <c r="Z219" s="70"/>
      <c r="AA219" s="70"/>
      <c r="AB219" s="70">
        <f>SUM(E219:AA219)</f>
        <v>240</v>
      </c>
      <c r="AC219" s="70">
        <f>AD219-AB219</f>
        <v>285</v>
      </c>
      <c r="AD219" s="70">
        <f>240+285</f>
        <v>525</v>
      </c>
      <c r="AE219" s="69">
        <f>(AB219/AD219)</f>
        <v>0.45714285714285713</v>
      </c>
      <c r="AF219" s="68" t="s">
        <v>71</v>
      </c>
    </row>
    <row r="220" spans="1:32" s="67" customFormat="1" ht="30" customHeight="1" x14ac:dyDescent="0.25">
      <c r="A220" s="71">
        <v>46151</v>
      </c>
      <c r="B220" s="70" t="s">
        <v>1</v>
      </c>
      <c r="C220" s="70" t="s">
        <v>2</v>
      </c>
      <c r="D220" s="70">
        <v>27</v>
      </c>
      <c r="E220" s="70">
        <v>130</v>
      </c>
      <c r="F220" s="70">
        <v>10</v>
      </c>
      <c r="G220" s="70">
        <v>15</v>
      </c>
      <c r="H220" s="70">
        <v>10</v>
      </c>
      <c r="I220" s="70"/>
      <c r="J220" s="70"/>
      <c r="K220" s="70"/>
      <c r="L220" s="70"/>
      <c r="M220" s="70">
        <v>5</v>
      </c>
      <c r="N220" s="70"/>
      <c r="O220" s="70">
        <v>10</v>
      </c>
      <c r="P220" s="70"/>
      <c r="Q220" s="70"/>
      <c r="R220" s="70"/>
      <c r="S220" s="70"/>
      <c r="T220" s="70">
        <v>33</v>
      </c>
      <c r="U220" s="70"/>
      <c r="V220" s="70">
        <f>20+5+18+5</f>
        <v>48</v>
      </c>
      <c r="W220" s="70"/>
      <c r="X220" s="70"/>
      <c r="Y220" s="70"/>
      <c r="Z220" s="70"/>
      <c r="AA220" s="70"/>
      <c r="AB220" s="70">
        <f>SUM(E220:AA220)</f>
        <v>261</v>
      </c>
      <c r="AC220" s="70">
        <f>AD220-AB220</f>
        <v>405</v>
      </c>
      <c r="AD220" s="70">
        <f>261+405</f>
        <v>666</v>
      </c>
      <c r="AE220" s="69">
        <f>(AB220/AD220)</f>
        <v>0.39189189189189189</v>
      </c>
      <c r="AF220" s="68" t="s">
        <v>71</v>
      </c>
    </row>
    <row r="221" spans="1:32" s="67" customFormat="1" ht="30" customHeight="1" x14ac:dyDescent="0.25">
      <c r="A221" s="71">
        <v>46151</v>
      </c>
      <c r="B221" s="70" t="s">
        <v>1</v>
      </c>
      <c r="C221" s="70" t="s">
        <v>0</v>
      </c>
      <c r="D221" s="70">
        <v>28</v>
      </c>
      <c r="E221" s="70"/>
      <c r="F221" s="70">
        <f>3+8+3+2</f>
        <v>16</v>
      </c>
      <c r="G221" s="70">
        <f>2+5+4+4+2</f>
        <v>17</v>
      </c>
      <c r="H221" s="70">
        <f>3+3</f>
        <v>6</v>
      </c>
      <c r="I221" s="70"/>
      <c r="J221" s="70"/>
      <c r="K221" s="70"/>
      <c r="L221" s="70"/>
      <c r="M221" s="70">
        <f>7+5</f>
        <v>12</v>
      </c>
      <c r="N221" s="70"/>
      <c r="O221" s="70"/>
      <c r="P221" s="70">
        <f>4+5+3</f>
        <v>12</v>
      </c>
      <c r="Q221" s="70"/>
      <c r="R221" s="70"/>
      <c r="S221" s="70"/>
      <c r="T221" s="70"/>
      <c r="U221" s="70"/>
      <c r="V221" s="70">
        <f>6+10</f>
        <v>16</v>
      </c>
      <c r="W221" s="70"/>
      <c r="X221" s="70"/>
      <c r="Y221" s="70"/>
      <c r="Z221" s="70"/>
      <c r="AA221" s="70"/>
      <c r="AB221" s="70">
        <f>SUM(E221:AA221)</f>
        <v>79</v>
      </c>
      <c r="AC221" s="70">
        <f>AD221-AB221</f>
        <v>299</v>
      </c>
      <c r="AD221" s="70">
        <f>79+299</f>
        <v>378</v>
      </c>
      <c r="AE221" s="69">
        <f>(AB221/AD221)</f>
        <v>0.20899470899470898</v>
      </c>
      <c r="AF221" s="68" t="s">
        <v>71</v>
      </c>
    </row>
    <row r="222" spans="1:32" s="72" customFormat="1" ht="30" customHeight="1" x14ac:dyDescent="0.25">
      <c r="A222" s="76">
        <v>46153</v>
      </c>
      <c r="B222" s="75" t="s">
        <v>1</v>
      </c>
      <c r="C222" s="75" t="s">
        <v>3</v>
      </c>
      <c r="D222" s="75">
        <v>1</v>
      </c>
      <c r="E222" s="75">
        <v>12</v>
      </c>
      <c r="F222" s="75">
        <v>3</v>
      </c>
      <c r="G222" s="75">
        <v>4</v>
      </c>
      <c r="H222" s="75"/>
      <c r="I222" s="75">
        <v>3</v>
      </c>
      <c r="J222" s="75"/>
      <c r="K222" s="75">
        <v>18</v>
      </c>
      <c r="L222" s="75">
        <v>2</v>
      </c>
      <c r="M222" s="75">
        <v>20</v>
      </c>
      <c r="N222" s="75"/>
      <c r="O222" s="75"/>
      <c r="P222" s="75">
        <v>2</v>
      </c>
      <c r="Q222" s="75"/>
      <c r="R222" s="75"/>
      <c r="S222" s="75"/>
      <c r="T222" s="75"/>
      <c r="U222" s="75"/>
      <c r="V222" s="75">
        <v>5</v>
      </c>
      <c r="W222" s="75"/>
      <c r="X222" s="75"/>
      <c r="Y222" s="75"/>
      <c r="Z222" s="75"/>
      <c r="AA222" s="75"/>
      <c r="AB222" s="75">
        <f>SUM(E222:AA222)</f>
        <v>69</v>
      </c>
      <c r="AC222" s="75">
        <f>AD222-AB222</f>
        <v>90</v>
      </c>
      <c r="AD222" s="75">
        <f>69+90</f>
        <v>159</v>
      </c>
      <c r="AE222" s="74">
        <f>(AB222/AD222)</f>
        <v>0.43396226415094341</v>
      </c>
      <c r="AF222" s="73" t="s">
        <v>71</v>
      </c>
    </row>
    <row r="223" spans="1:32" s="67" customFormat="1" ht="30" customHeight="1" x14ac:dyDescent="0.25">
      <c r="A223" s="71">
        <v>46153</v>
      </c>
      <c r="B223" s="70" t="s">
        <v>78</v>
      </c>
      <c r="C223" s="70" t="s">
        <v>80</v>
      </c>
      <c r="D223" s="70">
        <v>2</v>
      </c>
      <c r="E223" s="70">
        <v>194</v>
      </c>
      <c r="F223" s="70">
        <v>13</v>
      </c>
      <c r="G223" s="70">
        <v>18</v>
      </c>
      <c r="H223" s="70"/>
      <c r="I223" s="70">
        <v>15</v>
      </c>
      <c r="J223" s="70"/>
      <c r="K223" s="70"/>
      <c r="L223" s="70"/>
      <c r="M223" s="70">
        <v>62</v>
      </c>
      <c r="N223" s="70"/>
      <c r="O223" s="70">
        <v>26</v>
      </c>
      <c r="P223" s="70">
        <v>51</v>
      </c>
      <c r="Q223" s="70"/>
      <c r="R223" s="70">
        <v>58</v>
      </c>
      <c r="S223" s="70"/>
      <c r="T223" s="70">
        <v>16</v>
      </c>
      <c r="U223" s="70"/>
      <c r="V223" s="70">
        <f>55+20+34</f>
        <v>109</v>
      </c>
      <c r="W223" s="70"/>
      <c r="X223" s="70"/>
      <c r="Y223" s="70"/>
      <c r="Z223" s="70"/>
      <c r="AA223" s="70"/>
      <c r="AB223" s="70">
        <f>SUM(E223:AA223)</f>
        <v>562</v>
      </c>
      <c r="AC223" s="70">
        <f>AD223-AB223</f>
        <v>980</v>
      </c>
      <c r="AD223" s="70">
        <f>562+980</f>
        <v>1542</v>
      </c>
      <c r="AE223" s="69">
        <f>(AB223/AD223)</f>
        <v>0.36446173800259402</v>
      </c>
      <c r="AF223" s="68" t="s">
        <v>71</v>
      </c>
    </row>
    <row r="224" spans="1:32" s="67" customFormat="1" ht="30" customHeight="1" x14ac:dyDescent="0.25">
      <c r="A224" s="71">
        <v>46153</v>
      </c>
      <c r="B224" s="70" t="s">
        <v>78</v>
      </c>
      <c r="C224" s="70" t="s">
        <v>79</v>
      </c>
      <c r="D224" s="70">
        <v>3</v>
      </c>
      <c r="E224" s="70"/>
      <c r="F224" s="70">
        <f>2+1+1</f>
        <v>4</v>
      </c>
      <c r="G224" s="70">
        <f>3+5+2</f>
        <v>10</v>
      </c>
      <c r="H224" s="70"/>
      <c r="I224" s="70"/>
      <c r="J224" s="70"/>
      <c r="K224" s="70">
        <f>1+4+3</f>
        <v>8</v>
      </c>
      <c r="L224" s="70"/>
      <c r="M224" s="70">
        <f>1</f>
        <v>1</v>
      </c>
      <c r="N224" s="70"/>
      <c r="O224" s="70"/>
      <c r="P224" s="70"/>
      <c r="Q224" s="70"/>
      <c r="R224" s="70">
        <v>2</v>
      </c>
      <c r="S224" s="70"/>
      <c r="T224" s="70"/>
      <c r="U224" s="70"/>
      <c r="V224" s="70">
        <f>6+12</f>
        <v>18</v>
      </c>
      <c r="W224" s="70"/>
      <c r="X224" s="70"/>
      <c r="Y224" s="70">
        <v>3</v>
      </c>
      <c r="Z224" s="70"/>
      <c r="AA224" s="70"/>
      <c r="AB224" s="70">
        <f>SUM(E224:AA224)</f>
        <v>46</v>
      </c>
      <c r="AC224" s="70">
        <f>AD224-AB224</f>
        <v>56</v>
      </c>
      <c r="AD224" s="70">
        <f>46+56</f>
        <v>102</v>
      </c>
      <c r="AE224" s="69">
        <f>(AB224/AD224)</f>
        <v>0.45098039215686275</v>
      </c>
      <c r="AF224" s="68" t="s">
        <v>71</v>
      </c>
    </row>
    <row r="225" spans="1:32" s="67" customFormat="1" ht="30" customHeight="1" x14ac:dyDescent="0.25">
      <c r="A225" s="71">
        <v>46153</v>
      </c>
      <c r="B225" s="70" t="s">
        <v>1</v>
      </c>
      <c r="C225" s="70" t="s">
        <v>16</v>
      </c>
      <c r="D225" s="70">
        <v>4</v>
      </c>
      <c r="E225" s="70">
        <f>70+10+35+75+20+15+10</f>
        <v>235</v>
      </c>
      <c r="F225" s="70">
        <f>15+8</f>
        <v>23</v>
      </c>
      <c r="G225" s="70">
        <f>5</f>
        <v>5</v>
      </c>
      <c r="H225" s="70"/>
      <c r="I225" s="70"/>
      <c r="J225" s="70"/>
      <c r="K225" s="70">
        <v>18</v>
      </c>
      <c r="L225" s="70"/>
      <c r="M225" s="70">
        <f>40+45+5+25+32+20</f>
        <v>167</v>
      </c>
      <c r="N225" s="70">
        <f>20+5</f>
        <v>25</v>
      </c>
      <c r="O225" s="70"/>
      <c r="P225" s="70">
        <f>30+44</f>
        <v>74</v>
      </c>
      <c r="Q225" s="70"/>
      <c r="R225" s="70">
        <f>20+33+20</f>
        <v>73</v>
      </c>
      <c r="S225" s="70"/>
      <c r="T225" s="70">
        <f>25+5</f>
        <v>30</v>
      </c>
      <c r="U225" s="70"/>
      <c r="V225" s="70">
        <f>40+33+10+25+15+9+30+15+5</f>
        <v>182</v>
      </c>
      <c r="W225" s="70"/>
      <c r="X225" s="70"/>
      <c r="Y225" s="70">
        <v>5</v>
      </c>
      <c r="Z225" s="70"/>
      <c r="AA225" s="70">
        <v>25</v>
      </c>
      <c r="AB225" s="70">
        <f>SUM(E225:AA225)</f>
        <v>862</v>
      </c>
      <c r="AC225" s="70">
        <f>AD225-AB225</f>
        <v>1728</v>
      </c>
      <c r="AD225" s="70">
        <f>862+1728</f>
        <v>2590</v>
      </c>
      <c r="AE225" s="69">
        <f>(AB225/AD225)</f>
        <v>0.3328185328185328</v>
      </c>
      <c r="AF225" s="68" t="s">
        <v>71</v>
      </c>
    </row>
    <row r="226" spans="1:32" s="67" customFormat="1" ht="30" customHeight="1" x14ac:dyDescent="0.25">
      <c r="A226" s="71">
        <v>46153</v>
      </c>
      <c r="B226" s="70" t="s">
        <v>1</v>
      </c>
      <c r="C226" s="70" t="s">
        <v>16</v>
      </c>
      <c r="D226" s="70">
        <v>5</v>
      </c>
      <c r="E226" s="70">
        <v>260</v>
      </c>
      <c r="F226" s="70">
        <v>130</v>
      </c>
      <c r="G226" s="70">
        <v>37</v>
      </c>
      <c r="H226" s="70">
        <v>59</v>
      </c>
      <c r="I226" s="70">
        <v>25</v>
      </c>
      <c r="J226" s="70"/>
      <c r="K226" s="70"/>
      <c r="L226" s="70"/>
      <c r="M226" s="70">
        <v>409</v>
      </c>
      <c r="N226" s="70"/>
      <c r="O226" s="70"/>
      <c r="P226" s="70">
        <v>158</v>
      </c>
      <c r="Q226" s="70"/>
      <c r="R226" s="70">
        <v>85</v>
      </c>
      <c r="S226" s="70"/>
      <c r="T226" s="70"/>
      <c r="U226" s="70"/>
      <c r="V226" s="70">
        <v>202</v>
      </c>
      <c r="W226" s="70"/>
      <c r="X226" s="70"/>
      <c r="Y226" s="70"/>
      <c r="Z226" s="70"/>
      <c r="AA226" s="70"/>
      <c r="AB226" s="70">
        <f>SUM(E226:AA226)</f>
        <v>1365</v>
      </c>
      <c r="AC226" s="70">
        <f>AD226-AB226</f>
        <v>1720</v>
      </c>
      <c r="AD226" s="70">
        <f>1365+1720</f>
        <v>3085</v>
      </c>
      <c r="AE226" s="69">
        <f>(AB226/AD226)</f>
        <v>0.44246353322528365</v>
      </c>
      <c r="AF226" s="68" t="s">
        <v>71</v>
      </c>
    </row>
    <row r="227" spans="1:32" s="67" customFormat="1" ht="30" customHeight="1" x14ac:dyDescent="0.25">
      <c r="A227" s="71">
        <v>46153</v>
      </c>
      <c r="B227" s="70" t="s">
        <v>1</v>
      </c>
      <c r="C227" s="70" t="s">
        <v>15</v>
      </c>
      <c r="D227" s="70">
        <v>6</v>
      </c>
      <c r="E227" s="70">
        <v>188</v>
      </c>
      <c r="F227" s="70">
        <v>58</v>
      </c>
      <c r="G227" s="70">
        <v>35</v>
      </c>
      <c r="H227" s="70">
        <v>101</v>
      </c>
      <c r="I227" s="70"/>
      <c r="J227" s="70">
        <v>5</v>
      </c>
      <c r="K227" s="70">
        <v>10</v>
      </c>
      <c r="L227" s="70"/>
      <c r="M227" s="70">
        <v>105</v>
      </c>
      <c r="N227" s="70">
        <v>16</v>
      </c>
      <c r="O227" s="70"/>
      <c r="P227" s="70">
        <v>98</v>
      </c>
      <c r="Q227" s="70"/>
      <c r="R227" s="70">
        <v>20</v>
      </c>
      <c r="S227" s="70"/>
      <c r="T227" s="70">
        <v>25</v>
      </c>
      <c r="U227" s="70"/>
      <c r="V227" s="70">
        <f>76+5+5</f>
        <v>86</v>
      </c>
      <c r="W227" s="70"/>
      <c r="X227" s="70"/>
      <c r="Y227" s="70">
        <v>10</v>
      </c>
      <c r="Z227" s="70"/>
      <c r="AA227" s="70"/>
      <c r="AB227" s="70">
        <f>SUM(E227:AA227)</f>
        <v>757</v>
      </c>
      <c r="AC227" s="70">
        <f>AD227-AB227</f>
        <v>1134</v>
      </c>
      <c r="AD227" s="70">
        <f>757+1134</f>
        <v>1891</v>
      </c>
      <c r="AE227" s="69">
        <f>(AB227/AD227)</f>
        <v>0.40031729243786357</v>
      </c>
      <c r="AF227" s="68" t="s">
        <v>71</v>
      </c>
    </row>
    <row r="228" spans="1:32" s="67" customFormat="1" ht="30" customHeight="1" x14ac:dyDescent="0.25">
      <c r="A228" s="71">
        <v>46153</v>
      </c>
      <c r="B228" s="70" t="s">
        <v>1</v>
      </c>
      <c r="C228" s="70" t="s">
        <v>14</v>
      </c>
      <c r="D228" s="70">
        <v>7</v>
      </c>
      <c r="E228" s="70">
        <f>26+35+15+55+5+20+13+10</f>
        <v>179</v>
      </c>
      <c r="F228" s="70">
        <f>2+15</f>
        <v>17</v>
      </c>
      <c r="G228" s="70"/>
      <c r="H228" s="70">
        <f>35+9+5+3</f>
        <v>52</v>
      </c>
      <c r="I228" s="70"/>
      <c r="J228" s="70"/>
      <c r="K228" s="70"/>
      <c r="L228" s="70"/>
      <c r="M228" s="70">
        <f>5+10</f>
        <v>15</v>
      </c>
      <c r="N228" s="70">
        <f>5</f>
        <v>5</v>
      </c>
      <c r="O228" s="70"/>
      <c r="P228" s="70">
        <f>40</f>
        <v>40</v>
      </c>
      <c r="Q228" s="70">
        <f>10</f>
        <v>10</v>
      </c>
      <c r="R228" s="70">
        <f>5</f>
        <v>5</v>
      </c>
      <c r="S228" s="70"/>
      <c r="T228" s="70">
        <f>3</f>
        <v>3</v>
      </c>
      <c r="U228" s="70"/>
      <c r="V228" s="70">
        <f>58+20+5</f>
        <v>83</v>
      </c>
      <c r="W228" s="70"/>
      <c r="X228" s="70"/>
      <c r="Y228" s="70"/>
      <c r="Z228" s="70"/>
      <c r="AA228" s="70"/>
      <c r="AB228" s="70">
        <f>SUM(E228:AA228)</f>
        <v>409</v>
      </c>
      <c r="AC228" s="70">
        <f>AD228-AB228</f>
        <v>735</v>
      </c>
      <c r="AD228" s="70">
        <f>409+735</f>
        <v>1144</v>
      </c>
      <c r="AE228" s="69">
        <f>(AB228/AD228)</f>
        <v>0.3575174825174825</v>
      </c>
      <c r="AF228" s="68" t="s">
        <v>71</v>
      </c>
    </row>
    <row r="229" spans="1:32" s="67" customFormat="1" ht="30" customHeight="1" x14ac:dyDescent="0.25">
      <c r="A229" s="71">
        <v>46153</v>
      </c>
      <c r="B229" s="70" t="s">
        <v>78</v>
      </c>
      <c r="C229" s="70" t="s">
        <v>81</v>
      </c>
      <c r="D229" s="70">
        <v>8</v>
      </c>
      <c r="E229" s="70">
        <f>30+10+20+15+15+10</f>
        <v>100</v>
      </c>
      <c r="F229" s="70">
        <f>5+13+6+5+10+10+5</f>
        <v>54</v>
      </c>
      <c r="G229" s="70">
        <f>5+13</f>
        <v>18</v>
      </c>
      <c r="H229" s="70">
        <f>30+2+2</f>
        <v>34</v>
      </c>
      <c r="I229" s="70">
        <f>3</f>
        <v>3</v>
      </c>
      <c r="J229" s="70"/>
      <c r="K229" s="70">
        <f>5</f>
        <v>5</v>
      </c>
      <c r="L229" s="70"/>
      <c r="M229" s="70">
        <f>10+10+12+10</f>
        <v>42</v>
      </c>
      <c r="N229" s="70">
        <f>5</f>
        <v>5</v>
      </c>
      <c r="O229" s="70">
        <f>5</f>
        <v>5</v>
      </c>
      <c r="P229" s="70">
        <f>12+50+16+10+10+5+10</f>
        <v>113</v>
      </c>
      <c r="Q229" s="70">
        <f>10+10</f>
        <v>20</v>
      </c>
      <c r="R229" s="70"/>
      <c r="S229" s="70">
        <v>7</v>
      </c>
      <c r="T229" s="70">
        <f>50+22</f>
        <v>72</v>
      </c>
      <c r="U229" s="70"/>
      <c r="V229" s="70">
        <f>20+57+20+10+10+10+10+5+10+10+22</f>
        <v>184</v>
      </c>
      <c r="W229" s="70"/>
      <c r="X229" s="70"/>
      <c r="Y229" s="70">
        <v>13</v>
      </c>
      <c r="Z229" s="70"/>
      <c r="AA229" s="70"/>
      <c r="AB229" s="70">
        <f>SUM(E229:AA229)</f>
        <v>675</v>
      </c>
      <c r="AC229" s="70">
        <f>AD229-AB229</f>
        <v>1008</v>
      </c>
      <c r="AD229" s="70">
        <f>675+1008</f>
        <v>1683</v>
      </c>
      <c r="AE229" s="69">
        <f>(AB229/AD229)</f>
        <v>0.40106951871657753</v>
      </c>
      <c r="AF229" s="68" t="s">
        <v>71</v>
      </c>
    </row>
    <row r="230" spans="1:32" s="67" customFormat="1" ht="30" customHeight="1" x14ac:dyDescent="0.25">
      <c r="A230" s="71">
        <v>46153</v>
      </c>
      <c r="B230" s="70" t="s">
        <v>1</v>
      </c>
      <c r="C230" s="70" t="s">
        <v>12</v>
      </c>
      <c r="D230" s="70">
        <v>9</v>
      </c>
      <c r="E230" s="70">
        <v>160</v>
      </c>
      <c r="F230" s="70">
        <v>45</v>
      </c>
      <c r="G230" s="70">
        <v>47</v>
      </c>
      <c r="H230" s="70">
        <v>52</v>
      </c>
      <c r="I230" s="70">
        <v>27</v>
      </c>
      <c r="J230" s="70">
        <v>70</v>
      </c>
      <c r="K230" s="70"/>
      <c r="L230" s="70"/>
      <c r="M230" s="70">
        <v>122</v>
      </c>
      <c r="N230" s="70">
        <v>18</v>
      </c>
      <c r="O230" s="70">
        <v>13</v>
      </c>
      <c r="P230" s="70">
        <v>36</v>
      </c>
      <c r="Q230" s="70"/>
      <c r="R230" s="70"/>
      <c r="S230" s="70">
        <v>40</v>
      </c>
      <c r="T230" s="70">
        <v>8</v>
      </c>
      <c r="U230" s="70"/>
      <c r="V230" s="70">
        <f>50+19</f>
        <v>69</v>
      </c>
      <c r="W230" s="70"/>
      <c r="X230" s="70"/>
      <c r="Y230" s="70">
        <v>10</v>
      </c>
      <c r="Z230" s="70"/>
      <c r="AA230" s="70"/>
      <c r="AB230" s="70">
        <f>SUM(E230:AA230)</f>
        <v>717</v>
      </c>
      <c r="AC230" s="70">
        <f>AD230-AB230</f>
        <v>1696</v>
      </c>
      <c r="AD230" s="70">
        <f>717+1696</f>
        <v>2413</v>
      </c>
      <c r="AE230" s="69">
        <f>(AB230/AD230)</f>
        <v>0.29714048901782014</v>
      </c>
      <c r="AF230" s="68" t="s">
        <v>71</v>
      </c>
    </row>
    <row r="231" spans="1:32" s="67" customFormat="1" ht="30" customHeight="1" x14ac:dyDescent="0.25">
      <c r="A231" s="71">
        <v>46153</v>
      </c>
      <c r="B231" s="70" t="s">
        <v>1</v>
      </c>
      <c r="C231" s="70" t="s">
        <v>0</v>
      </c>
      <c r="D231" s="70">
        <v>10</v>
      </c>
      <c r="E231" s="70">
        <v>51</v>
      </c>
      <c r="F231" s="70">
        <v>6</v>
      </c>
      <c r="G231" s="70">
        <v>30</v>
      </c>
      <c r="H231" s="70"/>
      <c r="I231" s="70"/>
      <c r="J231" s="70">
        <v>30</v>
      </c>
      <c r="K231" s="70"/>
      <c r="L231" s="70">
        <v>17</v>
      </c>
      <c r="M231" s="70">
        <v>4</v>
      </c>
      <c r="N231" s="70"/>
      <c r="O231" s="70">
        <v>7</v>
      </c>
      <c r="P231" s="70">
        <v>6</v>
      </c>
      <c r="Q231" s="70"/>
      <c r="R231" s="70"/>
      <c r="S231" s="70"/>
      <c r="T231" s="70"/>
      <c r="U231" s="70"/>
      <c r="V231" s="70">
        <f>12+69</f>
        <v>81</v>
      </c>
      <c r="W231" s="70"/>
      <c r="X231" s="70"/>
      <c r="Y231" s="70"/>
      <c r="Z231" s="70"/>
      <c r="AA231" s="70"/>
      <c r="AB231" s="70">
        <f>SUM(E231:AA231)</f>
        <v>232</v>
      </c>
      <c r="AC231" s="70">
        <f>AD231-AB231</f>
        <v>480</v>
      </c>
      <c r="AD231" s="70">
        <f>232+480</f>
        <v>712</v>
      </c>
      <c r="AE231" s="69">
        <f>(AB231/AD231)</f>
        <v>0.3258426966292135</v>
      </c>
      <c r="AF231" s="68" t="s">
        <v>71</v>
      </c>
    </row>
    <row r="232" spans="1:32" s="67" customFormat="1" ht="30" customHeight="1" x14ac:dyDescent="0.25">
      <c r="A232" s="71">
        <v>46153</v>
      </c>
      <c r="B232" s="70" t="s">
        <v>1</v>
      </c>
      <c r="C232" s="70" t="s">
        <v>10</v>
      </c>
      <c r="D232" s="70">
        <v>11</v>
      </c>
      <c r="E232" s="70">
        <v>87</v>
      </c>
      <c r="F232" s="70">
        <v>29</v>
      </c>
      <c r="G232" s="70"/>
      <c r="H232" s="70">
        <v>8</v>
      </c>
      <c r="I232" s="70"/>
      <c r="J232" s="70">
        <v>23</v>
      </c>
      <c r="K232" s="70"/>
      <c r="L232" s="70"/>
      <c r="M232" s="70">
        <v>29</v>
      </c>
      <c r="N232" s="70"/>
      <c r="O232" s="70"/>
      <c r="P232" s="70">
        <v>39</v>
      </c>
      <c r="Q232" s="70"/>
      <c r="R232" s="70">
        <v>34</v>
      </c>
      <c r="S232" s="70">
        <v>5</v>
      </c>
      <c r="T232" s="70">
        <v>12</v>
      </c>
      <c r="U232" s="70"/>
      <c r="V232" s="70">
        <f>8+30+8</f>
        <v>46</v>
      </c>
      <c r="W232" s="70"/>
      <c r="X232" s="70"/>
      <c r="Y232" s="70"/>
      <c r="Z232" s="70"/>
      <c r="AA232" s="70">
        <v>18</v>
      </c>
      <c r="AB232" s="70">
        <f>SUM(E232:AA232)</f>
        <v>330</v>
      </c>
      <c r="AC232" s="70">
        <f>AD232-AB232</f>
        <v>880</v>
      </c>
      <c r="AD232" s="70">
        <f>330+880</f>
        <v>1210</v>
      </c>
      <c r="AE232" s="69">
        <f>(AB232/AD232)</f>
        <v>0.27272727272727271</v>
      </c>
      <c r="AF232" s="68" t="s">
        <v>71</v>
      </c>
    </row>
    <row r="233" spans="1:32" s="67" customFormat="1" ht="30" customHeight="1" x14ac:dyDescent="0.25">
      <c r="A233" s="71">
        <v>46153</v>
      </c>
      <c r="B233" s="70" t="s">
        <v>78</v>
      </c>
      <c r="C233" s="70" t="s">
        <v>18</v>
      </c>
      <c r="D233" s="70">
        <v>13</v>
      </c>
      <c r="E233" s="70">
        <v>62</v>
      </c>
      <c r="F233" s="70">
        <v>4</v>
      </c>
      <c r="G233" s="70">
        <v>66</v>
      </c>
      <c r="H233" s="70">
        <v>62</v>
      </c>
      <c r="I233" s="70">
        <v>19</v>
      </c>
      <c r="J233" s="70">
        <v>24</v>
      </c>
      <c r="K233" s="70"/>
      <c r="L233" s="70"/>
      <c r="M233" s="70">
        <v>44</v>
      </c>
      <c r="N233" s="70"/>
      <c r="O233" s="70">
        <v>23</v>
      </c>
      <c r="P233" s="70">
        <v>120</v>
      </c>
      <c r="Q233" s="70">
        <v>4</v>
      </c>
      <c r="R233" s="70"/>
      <c r="S233" s="70"/>
      <c r="T233" s="70"/>
      <c r="U233" s="70"/>
      <c r="V233" s="70">
        <f>46+21+5</f>
        <v>72</v>
      </c>
      <c r="W233" s="70"/>
      <c r="X233" s="70"/>
      <c r="Y233" s="70"/>
      <c r="Z233" s="70"/>
      <c r="AA233" s="70"/>
      <c r="AB233" s="70">
        <f>SUM(E233:AA233)</f>
        <v>500</v>
      </c>
      <c r="AC233" s="70">
        <f>AD233-AB233</f>
        <v>1260</v>
      </c>
      <c r="AD233" s="70">
        <f>500+1260</f>
        <v>1760</v>
      </c>
      <c r="AE233" s="69">
        <f>(AB233/AD233)</f>
        <v>0.28409090909090912</v>
      </c>
      <c r="AF233" s="68" t="s">
        <v>71</v>
      </c>
    </row>
    <row r="234" spans="1:32" s="67" customFormat="1" ht="30" customHeight="1" x14ac:dyDescent="0.25">
      <c r="A234" s="71">
        <v>46153</v>
      </c>
      <c r="B234" s="70" t="s">
        <v>1</v>
      </c>
      <c r="C234" s="70" t="s">
        <v>8</v>
      </c>
      <c r="D234" s="70">
        <v>14</v>
      </c>
      <c r="E234" s="70">
        <f>6+8+5</f>
        <v>19</v>
      </c>
      <c r="F234" s="70">
        <f>10+5+5</f>
        <v>20</v>
      </c>
      <c r="G234" s="70"/>
      <c r="H234" s="70"/>
      <c r="I234" s="70"/>
      <c r="J234" s="70"/>
      <c r="K234" s="70">
        <v>7</v>
      </c>
      <c r="L234" s="70">
        <v>20</v>
      </c>
      <c r="M234" s="70">
        <f>24+4+17+10+9+10</f>
        <v>74</v>
      </c>
      <c r="N234" s="70"/>
      <c r="O234" s="70">
        <f>19+5</f>
        <v>24</v>
      </c>
      <c r="P234" s="70">
        <v>10</v>
      </c>
      <c r="Q234" s="70"/>
      <c r="R234" s="70"/>
      <c r="S234" s="70"/>
      <c r="T234" s="70">
        <v>5</v>
      </c>
      <c r="U234" s="70"/>
      <c r="V234" s="70">
        <f>8+5</f>
        <v>13</v>
      </c>
      <c r="W234" s="70"/>
      <c r="X234" s="70"/>
      <c r="Y234" s="70"/>
      <c r="Z234" s="70"/>
      <c r="AA234" s="70">
        <f>5+8+5</f>
        <v>18</v>
      </c>
      <c r="AB234" s="70">
        <f>SUM(E234:AA234)</f>
        <v>210</v>
      </c>
      <c r="AC234" s="70">
        <f>AD234-AB234</f>
        <v>672</v>
      </c>
      <c r="AD234" s="70">
        <f>210+672</f>
        <v>882</v>
      </c>
      <c r="AE234" s="69">
        <f>(AB234/AD234)</f>
        <v>0.23809523809523808</v>
      </c>
      <c r="AF234" s="68" t="s">
        <v>71</v>
      </c>
    </row>
    <row r="235" spans="1:32" s="67" customFormat="1" ht="30" customHeight="1" x14ac:dyDescent="0.25">
      <c r="A235" s="71">
        <v>46153</v>
      </c>
      <c r="B235" s="70" t="s">
        <v>73</v>
      </c>
      <c r="C235" s="70" t="s">
        <v>7</v>
      </c>
      <c r="D235" s="70">
        <v>15</v>
      </c>
      <c r="E235" s="70">
        <v>5</v>
      </c>
      <c r="F235" s="70">
        <v>38</v>
      </c>
      <c r="G235" s="70"/>
      <c r="H235" s="70"/>
      <c r="I235" s="70"/>
      <c r="J235" s="70"/>
      <c r="K235" s="70">
        <v>15</v>
      </c>
      <c r="L235" s="70">
        <v>17</v>
      </c>
      <c r="M235" s="70">
        <v>47</v>
      </c>
      <c r="N235" s="70"/>
      <c r="O235" s="70"/>
      <c r="P235" s="70"/>
      <c r="Q235" s="70"/>
      <c r="R235" s="70"/>
      <c r="S235" s="70"/>
      <c r="T235" s="70">
        <v>4</v>
      </c>
      <c r="U235" s="70"/>
      <c r="V235" s="70">
        <f>4+15</f>
        <v>19</v>
      </c>
      <c r="W235" s="70"/>
      <c r="X235" s="70"/>
      <c r="Y235" s="70"/>
      <c r="Z235" s="70"/>
      <c r="AA235" s="70"/>
      <c r="AB235" s="70">
        <f>SUM(E235:AA235)</f>
        <v>145</v>
      </c>
      <c r="AC235" s="70">
        <f>AD235-AB235</f>
        <v>224</v>
      </c>
      <c r="AD235" s="70">
        <f>145+224</f>
        <v>369</v>
      </c>
      <c r="AE235" s="69">
        <f>(AB235/AD235)</f>
        <v>0.39295392953929537</v>
      </c>
      <c r="AF235" s="68" t="s">
        <v>71</v>
      </c>
    </row>
    <row r="236" spans="1:32" s="67" customFormat="1" ht="30" customHeight="1" x14ac:dyDescent="0.25">
      <c r="A236" s="71">
        <v>46153</v>
      </c>
      <c r="B236" s="70" t="s">
        <v>1</v>
      </c>
      <c r="C236" s="70" t="s">
        <v>10</v>
      </c>
      <c r="D236" s="70">
        <v>16</v>
      </c>
      <c r="E236" s="70">
        <f>25+31+6+10+16+5</f>
        <v>93</v>
      </c>
      <c r="F236" s="70">
        <f>3+6+4+10+4+3</f>
        <v>30</v>
      </c>
      <c r="G236" s="70">
        <f>31+8</f>
        <v>39</v>
      </c>
      <c r="H236" s="70">
        <f>3+3</f>
        <v>6</v>
      </c>
      <c r="I236" s="70"/>
      <c r="J236" s="70"/>
      <c r="K236" s="70">
        <f>6</f>
        <v>6</v>
      </c>
      <c r="L236" s="70"/>
      <c r="M236" s="70">
        <f>29+5+12+6+6+14</f>
        <v>72</v>
      </c>
      <c r="N236" s="70"/>
      <c r="O236" s="70">
        <f>6</f>
        <v>6</v>
      </c>
      <c r="P236" s="70">
        <f>10+5+4+30+16+27+7</f>
        <v>99</v>
      </c>
      <c r="Q236" s="70"/>
      <c r="R236" s="70"/>
      <c r="S236" s="70"/>
      <c r="T236" s="70">
        <f>13+12</f>
        <v>25</v>
      </c>
      <c r="U236" s="70"/>
      <c r="V236" s="70">
        <f>5+1+5+4+4+8</f>
        <v>27</v>
      </c>
      <c r="W236" s="70"/>
      <c r="X236" s="70"/>
      <c r="Y236" s="70">
        <f>4</f>
        <v>4</v>
      </c>
      <c r="Z236" s="70"/>
      <c r="AA236" s="70">
        <f>7+36</f>
        <v>43</v>
      </c>
      <c r="AB236" s="70">
        <f>SUM(E236:AA236)</f>
        <v>450</v>
      </c>
      <c r="AC236" s="70">
        <f>AD236-AB236</f>
        <v>880</v>
      </c>
      <c r="AD236" s="70">
        <f>450+880</f>
        <v>1330</v>
      </c>
      <c r="AE236" s="69">
        <f>(AB236/AD236)</f>
        <v>0.33834586466165412</v>
      </c>
      <c r="AF236" s="68" t="s">
        <v>71</v>
      </c>
    </row>
    <row r="237" spans="1:32" s="67" customFormat="1" ht="30" customHeight="1" x14ac:dyDescent="0.25">
      <c r="A237" s="71">
        <v>46153</v>
      </c>
      <c r="B237" s="70" t="s">
        <v>73</v>
      </c>
      <c r="C237" s="70" t="s">
        <v>12</v>
      </c>
      <c r="D237" s="70">
        <v>17</v>
      </c>
      <c r="E237" s="70">
        <f>61+10+90+35</f>
        <v>196</v>
      </c>
      <c r="F237" s="70"/>
      <c r="G237" s="70">
        <v>11</v>
      </c>
      <c r="H237" s="70"/>
      <c r="I237" s="70"/>
      <c r="J237" s="70"/>
      <c r="K237" s="70"/>
      <c r="L237" s="70"/>
      <c r="M237" s="70">
        <v>41</v>
      </c>
      <c r="N237" s="70"/>
      <c r="O237" s="70"/>
      <c r="P237" s="70"/>
      <c r="Q237" s="70"/>
      <c r="R237" s="70"/>
      <c r="S237" s="70"/>
      <c r="T237" s="70"/>
      <c r="U237" s="70"/>
      <c r="V237" s="70">
        <v>168</v>
      </c>
      <c r="W237" s="70"/>
      <c r="X237" s="70"/>
      <c r="Y237" s="70"/>
      <c r="Z237" s="70"/>
      <c r="AA237" s="70"/>
      <c r="AB237" s="70">
        <f>SUM(E237:AA237)</f>
        <v>416</v>
      </c>
      <c r="AC237" s="70">
        <f>AD237-AB237</f>
        <v>1704</v>
      </c>
      <c r="AD237" s="70">
        <f>416+1704</f>
        <v>2120</v>
      </c>
      <c r="AE237" s="69">
        <f>(AB237/AD237)</f>
        <v>0.19622641509433963</v>
      </c>
      <c r="AF237" s="68" t="s">
        <v>71</v>
      </c>
    </row>
    <row r="238" spans="1:32" s="67" customFormat="1" ht="30" customHeight="1" x14ac:dyDescent="0.25">
      <c r="A238" s="71">
        <v>46153</v>
      </c>
      <c r="B238" s="70" t="s">
        <v>1</v>
      </c>
      <c r="C238" s="70" t="s">
        <v>6</v>
      </c>
      <c r="D238" s="70">
        <v>18</v>
      </c>
      <c r="E238" s="70">
        <f>22+7+20+12</f>
        <v>61</v>
      </c>
      <c r="F238" s="70">
        <f>3+6+9+26</f>
        <v>44</v>
      </c>
      <c r="G238" s="70"/>
      <c r="H238" s="70">
        <f>7+12+13</f>
        <v>32</v>
      </c>
      <c r="I238" s="70"/>
      <c r="J238" s="70"/>
      <c r="K238" s="70">
        <f>13+8+10</f>
        <v>31</v>
      </c>
      <c r="L238" s="70"/>
      <c r="M238" s="70">
        <f>13+10+8+9+24+3+17</f>
        <v>84</v>
      </c>
      <c r="N238" s="70"/>
      <c r="O238" s="70"/>
      <c r="P238" s="70">
        <f>3</f>
        <v>3</v>
      </c>
      <c r="Q238" s="70">
        <f>9</f>
        <v>9</v>
      </c>
      <c r="R238" s="70"/>
      <c r="S238" s="70">
        <f>15</f>
        <v>15</v>
      </c>
      <c r="T238" s="70">
        <f>8+12</f>
        <v>20</v>
      </c>
      <c r="U238" s="70"/>
      <c r="V238" s="70">
        <f>6+20+6+5+11</f>
        <v>48</v>
      </c>
      <c r="W238" s="70"/>
      <c r="X238" s="70"/>
      <c r="Y238" s="70"/>
      <c r="Z238" s="70"/>
      <c r="AA238" s="70">
        <v>6</v>
      </c>
      <c r="AB238" s="70">
        <f>SUM(E238:AA238)</f>
        <v>353</v>
      </c>
      <c r="AC238" s="70">
        <f>AD238-AB238</f>
        <v>1008</v>
      </c>
      <c r="AD238" s="70">
        <f>353+1008</f>
        <v>1361</v>
      </c>
      <c r="AE238" s="69">
        <f>(AB238/AD238)</f>
        <v>0.25936811168258633</v>
      </c>
      <c r="AF238" s="68" t="s">
        <v>71</v>
      </c>
    </row>
    <row r="239" spans="1:32" s="67" customFormat="1" ht="30" customHeight="1" x14ac:dyDescent="0.25">
      <c r="A239" s="71">
        <v>46153</v>
      </c>
      <c r="B239" s="70" t="s">
        <v>1</v>
      </c>
      <c r="C239" s="70" t="s">
        <v>2</v>
      </c>
      <c r="D239" s="70">
        <v>19</v>
      </c>
      <c r="E239" s="70">
        <v>38</v>
      </c>
      <c r="F239" s="70">
        <v>40</v>
      </c>
      <c r="G239" s="70">
        <v>22</v>
      </c>
      <c r="H239" s="70">
        <v>26</v>
      </c>
      <c r="I239" s="70"/>
      <c r="J239" s="70"/>
      <c r="K239" s="70"/>
      <c r="L239" s="70"/>
      <c r="M239" s="70">
        <v>8</v>
      </c>
      <c r="N239" s="70"/>
      <c r="O239" s="70"/>
      <c r="P239" s="70">
        <v>15</v>
      </c>
      <c r="Q239" s="70"/>
      <c r="R239" s="70"/>
      <c r="S239" s="70"/>
      <c r="T239" s="70">
        <v>5</v>
      </c>
      <c r="U239" s="70"/>
      <c r="V239" s="70">
        <f>35+9+3</f>
        <v>47</v>
      </c>
      <c r="W239" s="70">
        <v>2</v>
      </c>
      <c r="X239" s="70"/>
      <c r="Y239" s="70"/>
      <c r="Z239" s="70"/>
      <c r="AA239" s="70"/>
      <c r="AB239" s="70">
        <f>SUM(E239:AA239)</f>
        <v>203</v>
      </c>
      <c r="AC239" s="70">
        <f>AD239-AB239</f>
        <v>770</v>
      </c>
      <c r="AD239" s="70">
        <f>203+770</f>
        <v>973</v>
      </c>
      <c r="AE239" s="69">
        <f>(AB239/AD239)</f>
        <v>0.20863309352517986</v>
      </c>
      <c r="AF239" s="68" t="s">
        <v>71</v>
      </c>
    </row>
    <row r="240" spans="1:32" s="67" customFormat="1" ht="30" customHeight="1" x14ac:dyDescent="0.25">
      <c r="A240" s="71">
        <v>46153</v>
      </c>
      <c r="B240" s="70" t="s">
        <v>1</v>
      </c>
      <c r="C240" s="70" t="s">
        <v>9</v>
      </c>
      <c r="D240" s="70">
        <v>20</v>
      </c>
      <c r="E240" s="70">
        <f>17+5+15</f>
        <v>37</v>
      </c>
      <c r="F240" s="70">
        <f>10</f>
        <v>10</v>
      </c>
      <c r="G240" s="70"/>
      <c r="H240" s="70">
        <f>5</f>
        <v>5</v>
      </c>
      <c r="I240" s="70"/>
      <c r="J240" s="70"/>
      <c r="K240" s="70">
        <f>10+15</f>
        <v>25</v>
      </c>
      <c r="L240" s="70"/>
      <c r="M240" s="70">
        <f>5+5+5</f>
        <v>15</v>
      </c>
      <c r="N240" s="70"/>
      <c r="O240" s="70"/>
      <c r="P240" s="70">
        <f>10+30</f>
        <v>40</v>
      </c>
      <c r="Q240" s="70"/>
      <c r="R240" s="70"/>
      <c r="S240" s="70"/>
      <c r="T240" s="70">
        <f>25+25+8+25</f>
        <v>83</v>
      </c>
      <c r="U240" s="70"/>
      <c r="V240" s="70">
        <f>10+5+5</f>
        <v>20</v>
      </c>
      <c r="W240" s="70"/>
      <c r="X240" s="70"/>
      <c r="Y240" s="70"/>
      <c r="Z240" s="70"/>
      <c r="AA240" s="70"/>
      <c r="AB240" s="70">
        <f>SUM(E240:AA240)</f>
        <v>235</v>
      </c>
      <c r="AC240" s="70">
        <f>AD240-AB240</f>
        <v>656</v>
      </c>
      <c r="AD240" s="70">
        <f>235+656</f>
        <v>891</v>
      </c>
      <c r="AE240" s="69">
        <f>(AB240/AD240)</f>
        <v>0.26374859708193044</v>
      </c>
      <c r="AF240" s="68" t="s">
        <v>71</v>
      </c>
    </row>
    <row r="241" spans="1:32" s="67" customFormat="1" ht="30" customHeight="1" x14ac:dyDescent="0.25">
      <c r="A241" s="71">
        <v>46153</v>
      </c>
      <c r="B241" s="70" t="s">
        <v>1</v>
      </c>
      <c r="C241" s="70" t="s">
        <v>75</v>
      </c>
      <c r="D241" s="70">
        <v>21</v>
      </c>
      <c r="E241" s="70">
        <f>68+56+51</f>
        <v>175</v>
      </c>
      <c r="F241" s="70">
        <f>14+10</f>
        <v>24</v>
      </c>
      <c r="G241" s="70">
        <f>8</f>
        <v>8</v>
      </c>
      <c r="H241" s="70">
        <f>6+10</f>
        <v>16</v>
      </c>
      <c r="I241" s="70">
        <f>11</f>
        <v>11</v>
      </c>
      <c r="J241" s="70">
        <f>5+12</f>
        <v>17</v>
      </c>
      <c r="K241" s="70"/>
      <c r="L241" s="70"/>
      <c r="M241" s="70">
        <f>8+24+5</f>
        <v>37</v>
      </c>
      <c r="N241" s="70">
        <f>5</f>
        <v>5</v>
      </c>
      <c r="O241" s="70">
        <f>5</f>
        <v>5</v>
      </c>
      <c r="P241" s="70">
        <f>36+4</f>
        <v>40</v>
      </c>
      <c r="Q241" s="70">
        <f>29</f>
        <v>29</v>
      </c>
      <c r="R241" s="70"/>
      <c r="S241" s="70"/>
      <c r="T241" s="70"/>
      <c r="U241" s="70"/>
      <c r="V241" s="70">
        <f>64+9+5+35</f>
        <v>113</v>
      </c>
      <c r="W241" s="70"/>
      <c r="X241" s="70"/>
      <c r="Y241" s="70">
        <v>5</v>
      </c>
      <c r="Z241" s="70"/>
      <c r="AA241" s="70"/>
      <c r="AB241" s="70">
        <f>SUM(E241:AA241)</f>
        <v>485</v>
      </c>
      <c r="AC241" s="70">
        <f>AD241-AB241</f>
        <v>850</v>
      </c>
      <c r="AD241" s="70">
        <f>485+850</f>
        <v>1335</v>
      </c>
      <c r="AE241" s="69">
        <f>(AB241/AD241)</f>
        <v>0.36329588014981273</v>
      </c>
      <c r="AF241" s="68" t="s">
        <v>71</v>
      </c>
    </row>
    <row r="242" spans="1:32" s="67" customFormat="1" ht="30" customHeight="1" x14ac:dyDescent="0.25">
      <c r="A242" s="71">
        <v>46153</v>
      </c>
      <c r="B242" s="70" t="s">
        <v>1</v>
      </c>
      <c r="C242" s="70" t="s">
        <v>8</v>
      </c>
      <c r="D242" s="70">
        <v>22</v>
      </c>
      <c r="E242" s="70">
        <f>25+15</f>
        <v>40</v>
      </c>
      <c r="F242" s="70">
        <f>3+3</f>
        <v>6</v>
      </c>
      <c r="G242" s="70">
        <f>13</f>
        <v>13</v>
      </c>
      <c r="H242" s="70">
        <f>3+26+7+13</f>
        <v>49</v>
      </c>
      <c r="I242" s="70"/>
      <c r="J242" s="70">
        <f>20</f>
        <v>20</v>
      </c>
      <c r="K242" s="70"/>
      <c r="L242" s="70">
        <f>4+5</f>
        <v>9</v>
      </c>
      <c r="M242" s="70">
        <f>48+3+3+4+40+57+66</f>
        <v>221</v>
      </c>
      <c r="N242" s="70"/>
      <c r="O242" s="70"/>
      <c r="P242" s="70">
        <f>3+25</f>
        <v>28</v>
      </c>
      <c r="Q242" s="70"/>
      <c r="R242" s="70"/>
      <c r="S242" s="70"/>
      <c r="T242" s="70">
        <f>8</f>
        <v>8</v>
      </c>
      <c r="U242" s="70"/>
      <c r="V242" s="70">
        <f>3</f>
        <v>3</v>
      </c>
      <c r="W242" s="70"/>
      <c r="X242" s="70"/>
      <c r="Y242" s="70"/>
      <c r="Z242" s="70"/>
      <c r="AA242" s="70"/>
      <c r="AB242" s="70">
        <f>SUM(E242:AA242)</f>
        <v>397</v>
      </c>
      <c r="AC242" s="70">
        <f>AD242-AB242</f>
        <v>736</v>
      </c>
      <c r="AD242" s="70">
        <f>397+736</f>
        <v>1133</v>
      </c>
      <c r="AE242" s="69">
        <f>(AB242/AD242)</f>
        <v>0.35039717563989409</v>
      </c>
      <c r="AF242" s="68" t="s">
        <v>71</v>
      </c>
    </row>
    <row r="243" spans="1:32" s="67" customFormat="1" ht="30" customHeight="1" x14ac:dyDescent="0.25">
      <c r="A243" s="71">
        <v>46153</v>
      </c>
      <c r="B243" s="70" t="s">
        <v>73</v>
      </c>
      <c r="C243" s="70" t="s">
        <v>7</v>
      </c>
      <c r="D243" s="70">
        <v>23</v>
      </c>
      <c r="E243" s="70"/>
      <c r="F243" s="70">
        <v>10</v>
      </c>
      <c r="G243" s="70">
        <v>5</v>
      </c>
      <c r="H243" s="70"/>
      <c r="I243" s="70"/>
      <c r="J243" s="70">
        <v>7</v>
      </c>
      <c r="K243" s="70">
        <v>2</v>
      </c>
      <c r="L243" s="70"/>
      <c r="M243" s="70">
        <v>17</v>
      </c>
      <c r="N243" s="70"/>
      <c r="O243" s="70"/>
      <c r="P243" s="70">
        <v>3</v>
      </c>
      <c r="Q243" s="70"/>
      <c r="R243" s="70"/>
      <c r="S243" s="70"/>
      <c r="T243" s="70"/>
      <c r="U243" s="70"/>
      <c r="V243" s="70">
        <v>24</v>
      </c>
      <c r="W243" s="70"/>
      <c r="X243" s="70"/>
      <c r="Y243" s="70"/>
      <c r="Z243" s="70"/>
      <c r="AA243" s="70"/>
      <c r="AB243" s="70">
        <f>SUM(E243:AA243)</f>
        <v>68</v>
      </c>
      <c r="AC243" s="70">
        <f>AD243-AB243</f>
        <v>96</v>
      </c>
      <c r="AD243" s="70">
        <f>68+96</f>
        <v>164</v>
      </c>
      <c r="AE243" s="69">
        <f>(AB243/AD243)</f>
        <v>0.41463414634146339</v>
      </c>
      <c r="AF243" s="68" t="s">
        <v>71</v>
      </c>
    </row>
    <row r="244" spans="1:32" s="67" customFormat="1" ht="30" customHeight="1" x14ac:dyDescent="0.25">
      <c r="A244" s="71">
        <v>46153</v>
      </c>
      <c r="B244" s="70" t="s">
        <v>1</v>
      </c>
      <c r="C244" s="70" t="s">
        <v>6</v>
      </c>
      <c r="D244" s="70">
        <v>24</v>
      </c>
      <c r="E244" s="70">
        <f>15+20+11</f>
        <v>46</v>
      </c>
      <c r="F244" s="70"/>
      <c r="G244" s="70"/>
      <c r="H244" s="70"/>
      <c r="I244" s="70"/>
      <c r="J244" s="70"/>
      <c r="K244" s="70">
        <v>15</v>
      </c>
      <c r="L244" s="70"/>
      <c r="M244" s="70">
        <v>40</v>
      </c>
      <c r="N244" s="70"/>
      <c r="O244" s="70"/>
      <c r="P244" s="70">
        <v>15</v>
      </c>
      <c r="Q244" s="70">
        <v>27</v>
      </c>
      <c r="R244" s="70">
        <v>5</v>
      </c>
      <c r="S244" s="70"/>
      <c r="T244" s="70"/>
      <c r="U244" s="70"/>
      <c r="V244" s="70"/>
      <c r="W244" s="70"/>
      <c r="X244" s="70"/>
      <c r="Y244" s="70"/>
      <c r="Z244" s="70"/>
      <c r="AA244" s="70">
        <v>10</v>
      </c>
      <c r="AB244" s="70">
        <f>SUM(E244:AA244)</f>
        <v>158</v>
      </c>
      <c r="AC244" s="70">
        <f>AD244-AB244</f>
        <v>1016</v>
      </c>
      <c r="AD244" s="70">
        <f>158+1016</f>
        <v>1174</v>
      </c>
      <c r="AE244" s="69">
        <f>(AB244/AD244)</f>
        <v>0.13458262350936967</v>
      </c>
      <c r="AF244" s="68" t="s">
        <v>71</v>
      </c>
    </row>
    <row r="245" spans="1:32" s="67" customFormat="1" ht="30" customHeight="1" x14ac:dyDescent="0.25">
      <c r="A245" s="71">
        <v>46153</v>
      </c>
      <c r="B245" s="70" t="s">
        <v>5</v>
      </c>
      <c r="C245" s="70" t="s">
        <v>4</v>
      </c>
      <c r="D245" s="70">
        <v>25</v>
      </c>
      <c r="E245" s="70">
        <f>100+60+50+60+25+55+48</f>
        <v>398</v>
      </c>
      <c r="F245" s="70">
        <f>10</f>
        <v>10</v>
      </c>
      <c r="G245" s="70"/>
      <c r="H245" s="70">
        <f>30+100+10+10</f>
        <v>150</v>
      </c>
      <c r="I245" s="70"/>
      <c r="J245" s="70"/>
      <c r="K245" s="70">
        <f>10</f>
        <v>10</v>
      </c>
      <c r="L245" s="70"/>
      <c r="M245" s="70">
        <f>106+15+25+15</f>
        <v>161</v>
      </c>
      <c r="N245" s="70"/>
      <c r="O245" s="70"/>
      <c r="P245" s="70">
        <f>5</f>
        <v>5</v>
      </c>
      <c r="Q245" s="70"/>
      <c r="R245" s="70"/>
      <c r="S245" s="70"/>
      <c r="T245" s="70"/>
      <c r="U245" s="70"/>
      <c r="V245" s="70">
        <f>25+40</f>
        <v>65</v>
      </c>
      <c r="W245" s="70"/>
      <c r="X245" s="70"/>
      <c r="Y245" s="70"/>
      <c r="Z245" s="70"/>
      <c r="AA245" s="70"/>
      <c r="AB245" s="70">
        <f>SUM(E245:AA245)</f>
        <v>799</v>
      </c>
      <c r="AC245" s="70">
        <f>AD245-AB245</f>
        <v>2016</v>
      </c>
      <c r="AD245" s="70">
        <f>799+2016</f>
        <v>2815</v>
      </c>
      <c r="AE245" s="69">
        <f>(AB245/AD245)</f>
        <v>0.2838365896980462</v>
      </c>
      <c r="AF245" s="68" t="s">
        <v>74</v>
      </c>
    </row>
    <row r="246" spans="1:32" s="67" customFormat="1" ht="30" customHeight="1" x14ac:dyDescent="0.25">
      <c r="A246" s="71">
        <v>46153</v>
      </c>
      <c r="B246" s="70" t="s">
        <v>73</v>
      </c>
      <c r="C246" s="70" t="s">
        <v>22</v>
      </c>
      <c r="D246" s="70">
        <v>26</v>
      </c>
      <c r="E246" s="70">
        <v>35</v>
      </c>
      <c r="F246" s="70">
        <v>44</v>
      </c>
      <c r="G246" s="70">
        <v>1</v>
      </c>
      <c r="H246" s="70"/>
      <c r="I246" s="70"/>
      <c r="J246" s="70"/>
      <c r="K246" s="70"/>
      <c r="L246" s="70"/>
      <c r="M246" s="70">
        <v>65</v>
      </c>
      <c r="N246" s="70"/>
      <c r="O246" s="70"/>
      <c r="P246" s="70"/>
      <c r="Q246" s="70">
        <v>10</v>
      </c>
      <c r="R246" s="70"/>
      <c r="S246" s="70"/>
      <c r="T246" s="70"/>
      <c r="U246" s="70"/>
      <c r="V246" s="70">
        <f>5+5</f>
        <v>10</v>
      </c>
      <c r="W246" s="70"/>
      <c r="X246" s="70"/>
      <c r="Y246" s="70"/>
      <c r="Z246" s="70"/>
      <c r="AA246" s="70"/>
      <c r="AB246" s="70">
        <f>SUM(E246:AA246)</f>
        <v>165</v>
      </c>
      <c r="AC246" s="70">
        <f>AD246-AB246</f>
        <v>180</v>
      </c>
      <c r="AD246" s="70">
        <f>165+180</f>
        <v>345</v>
      </c>
      <c r="AE246" s="69">
        <f>(AB246/AD246)</f>
        <v>0.47826086956521741</v>
      </c>
      <c r="AF246" s="68" t="s">
        <v>71</v>
      </c>
    </row>
    <row r="247" spans="1:32" s="67" customFormat="1" ht="30" customHeight="1" x14ac:dyDescent="0.25">
      <c r="A247" s="71">
        <v>46153</v>
      </c>
      <c r="B247" s="70" t="s">
        <v>1</v>
      </c>
      <c r="C247" s="70" t="s">
        <v>2</v>
      </c>
      <c r="D247" s="70">
        <v>27</v>
      </c>
      <c r="E247" s="70">
        <f>60+58+78+10+28</f>
        <v>234</v>
      </c>
      <c r="F247" s="70">
        <f>20+12</f>
        <v>32</v>
      </c>
      <c r="G247" s="70">
        <v>130</v>
      </c>
      <c r="H247" s="70">
        <v>36</v>
      </c>
      <c r="I247" s="70"/>
      <c r="J247" s="70"/>
      <c r="K247" s="70"/>
      <c r="L247" s="70"/>
      <c r="M247" s="70"/>
      <c r="N247" s="70"/>
      <c r="O247" s="70"/>
      <c r="P247" s="70">
        <v>5</v>
      </c>
      <c r="Q247" s="70"/>
      <c r="R247" s="70"/>
      <c r="S247" s="70"/>
      <c r="T247" s="70">
        <v>35</v>
      </c>
      <c r="U247" s="70"/>
      <c r="V247" s="70">
        <f>60+30+10</f>
        <v>100</v>
      </c>
      <c r="W247" s="70"/>
      <c r="X247" s="70"/>
      <c r="Y247" s="70"/>
      <c r="Z247" s="70"/>
      <c r="AA247" s="70"/>
      <c r="AB247" s="70">
        <f>SUM(E247:AA247)</f>
        <v>572</v>
      </c>
      <c r="AC247" s="70">
        <f>AD247-AB247</f>
        <v>845</v>
      </c>
      <c r="AD247" s="70">
        <f>572+845</f>
        <v>1417</v>
      </c>
      <c r="AE247" s="69">
        <f>(AB247/AD247)</f>
        <v>0.40366972477064222</v>
      </c>
      <c r="AF247" s="68" t="s">
        <v>71</v>
      </c>
    </row>
    <row r="248" spans="1:32" s="67" customFormat="1" ht="30" customHeight="1" x14ac:dyDescent="0.25">
      <c r="A248" s="71">
        <v>46153</v>
      </c>
      <c r="B248" s="70" t="s">
        <v>1</v>
      </c>
      <c r="C248" s="70" t="s">
        <v>0</v>
      </c>
      <c r="D248" s="70">
        <v>28</v>
      </c>
      <c r="E248" s="70"/>
      <c r="F248" s="70">
        <f>13+10+10+7+7+5</f>
        <v>52</v>
      </c>
      <c r="G248" s="70">
        <f>5+10+10+16+5+10</f>
        <v>56</v>
      </c>
      <c r="H248" s="70">
        <f>3+5+5</f>
        <v>13</v>
      </c>
      <c r="I248" s="70">
        <f>9</f>
        <v>9</v>
      </c>
      <c r="J248" s="70"/>
      <c r="K248" s="70"/>
      <c r="L248" s="70"/>
      <c r="M248" s="70">
        <f>3+21+11+7+3</f>
        <v>45</v>
      </c>
      <c r="N248" s="70"/>
      <c r="O248" s="70"/>
      <c r="P248" s="70">
        <f>18+6+3+2</f>
        <v>29</v>
      </c>
      <c r="Q248" s="70"/>
      <c r="R248" s="70"/>
      <c r="S248" s="70"/>
      <c r="T248" s="70"/>
      <c r="U248" s="70"/>
      <c r="V248" s="70">
        <f>5+3+6</f>
        <v>14</v>
      </c>
      <c r="W248" s="70"/>
      <c r="X248" s="70"/>
      <c r="Y248" s="70"/>
      <c r="Z248" s="70"/>
      <c r="AA248" s="70"/>
      <c r="AB248" s="70">
        <f>SUM(E248:AA248)</f>
        <v>218</v>
      </c>
      <c r="AC248" s="70">
        <f>AD248-AB248</f>
        <v>480</v>
      </c>
      <c r="AD248" s="70">
        <f>218+480</f>
        <v>698</v>
      </c>
      <c r="AE248" s="69">
        <f>(AB248/AD248)</f>
        <v>0.31232091690544411</v>
      </c>
      <c r="AF248" s="68" t="s">
        <v>71</v>
      </c>
    </row>
    <row r="249" spans="1:32" s="72" customFormat="1" ht="30" customHeight="1" x14ac:dyDescent="0.25">
      <c r="A249" s="76">
        <v>46154</v>
      </c>
      <c r="B249" s="75" t="s">
        <v>1</v>
      </c>
      <c r="C249" s="75" t="s">
        <v>3</v>
      </c>
      <c r="D249" s="75">
        <v>1</v>
      </c>
      <c r="E249" s="75">
        <v>17</v>
      </c>
      <c r="F249" s="75">
        <v>6</v>
      </c>
      <c r="G249" s="75">
        <v>6</v>
      </c>
      <c r="H249" s="75">
        <v>3</v>
      </c>
      <c r="I249" s="75"/>
      <c r="J249" s="75">
        <v>4</v>
      </c>
      <c r="K249" s="75">
        <v>13</v>
      </c>
      <c r="L249" s="75">
        <v>4</v>
      </c>
      <c r="M249" s="75">
        <v>27</v>
      </c>
      <c r="N249" s="75"/>
      <c r="O249" s="75"/>
      <c r="P249" s="75"/>
      <c r="Q249" s="75"/>
      <c r="R249" s="75"/>
      <c r="S249" s="75"/>
      <c r="T249" s="75"/>
      <c r="U249" s="75"/>
      <c r="V249" s="75">
        <v>24</v>
      </c>
      <c r="W249" s="75"/>
      <c r="X249" s="75"/>
      <c r="Y249" s="75"/>
      <c r="Z249" s="75"/>
      <c r="AA249" s="75"/>
      <c r="AB249" s="75">
        <f>SUM(E249:AA249)</f>
        <v>104</v>
      </c>
      <c r="AC249" s="75">
        <f>AD249-AB249</f>
        <v>137</v>
      </c>
      <c r="AD249" s="75">
        <f>104+137</f>
        <v>241</v>
      </c>
      <c r="AE249" s="74">
        <f>(AB249/AD249)</f>
        <v>0.43153526970954359</v>
      </c>
      <c r="AF249" s="73" t="s">
        <v>71</v>
      </c>
    </row>
    <row r="250" spans="1:32" s="67" customFormat="1" ht="30" customHeight="1" x14ac:dyDescent="0.25">
      <c r="A250" s="71">
        <v>46154</v>
      </c>
      <c r="B250" s="70" t="s">
        <v>78</v>
      </c>
      <c r="C250" s="70" t="s">
        <v>80</v>
      </c>
      <c r="D250" s="70">
        <v>2</v>
      </c>
      <c r="E250" s="70">
        <v>129</v>
      </c>
      <c r="F250" s="70">
        <v>34</v>
      </c>
      <c r="G250" s="70">
        <v>24</v>
      </c>
      <c r="H250" s="70">
        <v>18</v>
      </c>
      <c r="I250" s="70"/>
      <c r="J250" s="70"/>
      <c r="K250" s="70"/>
      <c r="L250" s="70"/>
      <c r="M250" s="70">
        <v>28</v>
      </c>
      <c r="N250" s="70"/>
      <c r="O250" s="70">
        <v>32</v>
      </c>
      <c r="P250" s="70">
        <v>22</v>
      </c>
      <c r="Q250" s="70"/>
      <c r="R250" s="70">
        <v>33</v>
      </c>
      <c r="S250" s="70"/>
      <c r="T250" s="70">
        <v>15</v>
      </c>
      <c r="U250" s="70"/>
      <c r="V250" s="70">
        <f>105+24+56</f>
        <v>185</v>
      </c>
      <c r="W250" s="70"/>
      <c r="X250" s="70"/>
      <c r="Y250" s="70"/>
      <c r="Z250" s="70"/>
      <c r="AA250" s="70"/>
      <c r="AB250" s="70">
        <f>SUM(E250:AA250)</f>
        <v>520</v>
      </c>
      <c r="AC250" s="70">
        <f>AD250-AB250</f>
        <v>910</v>
      </c>
      <c r="AD250" s="70">
        <f>520+910</f>
        <v>1430</v>
      </c>
      <c r="AE250" s="69">
        <f>(AB250/AD250)</f>
        <v>0.36363636363636365</v>
      </c>
      <c r="AF250" s="68" t="s">
        <v>71</v>
      </c>
    </row>
    <row r="251" spans="1:32" s="67" customFormat="1" ht="30" customHeight="1" x14ac:dyDescent="0.25">
      <c r="A251" s="71">
        <v>46154</v>
      </c>
      <c r="B251" s="70" t="s">
        <v>78</v>
      </c>
      <c r="C251" s="70" t="s">
        <v>79</v>
      </c>
      <c r="D251" s="70">
        <v>3</v>
      </c>
      <c r="E251" s="70">
        <v>3</v>
      </c>
      <c r="F251" s="70">
        <v>6</v>
      </c>
      <c r="G251" s="70">
        <v>6</v>
      </c>
      <c r="H251" s="70">
        <v>5</v>
      </c>
      <c r="I251" s="70"/>
      <c r="J251" s="70"/>
      <c r="K251" s="70">
        <v>5</v>
      </c>
      <c r="L251" s="70"/>
      <c r="M251" s="70">
        <v>2</v>
      </c>
      <c r="N251" s="70"/>
      <c r="O251" s="70"/>
      <c r="P251" s="70">
        <v>3</v>
      </c>
      <c r="Q251" s="70"/>
      <c r="R251" s="70">
        <v>2</v>
      </c>
      <c r="S251" s="70"/>
      <c r="T251" s="70">
        <v>2</v>
      </c>
      <c r="U251" s="70"/>
      <c r="V251" s="70">
        <f>7+11</f>
        <v>18</v>
      </c>
      <c r="W251" s="70"/>
      <c r="X251" s="70"/>
      <c r="Y251" s="70">
        <v>4</v>
      </c>
      <c r="Z251" s="70"/>
      <c r="AA251" s="70"/>
      <c r="AB251" s="70">
        <f>SUM(E251:AA251)</f>
        <v>56</v>
      </c>
      <c r="AC251" s="70">
        <f>AD251-AB251</f>
        <v>70</v>
      </c>
      <c r="AD251" s="70">
        <f>56+70</f>
        <v>126</v>
      </c>
      <c r="AE251" s="69">
        <f>(AB251/AD251)</f>
        <v>0.44444444444444442</v>
      </c>
      <c r="AF251" s="68" t="s">
        <v>71</v>
      </c>
    </row>
    <row r="252" spans="1:32" s="67" customFormat="1" ht="30" customHeight="1" x14ac:dyDescent="0.25">
      <c r="A252" s="71">
        <v>46154</v>
      </c>
      <c r="B252" s="70" t="s">
        <v>1</v>
      </c>
      <c r="C252" s="70" t="s">
        <v>16</v>
      </c>
      <c r="D252" s="70">
        <v>4</v>
      </c>
      <c r="E252" s="70">
        <v>241</v>
      </c>
      <c r="F252" s="70">
        <v>25</v>
      </c>
      <c r="G252" s="70"/>
      <c r="H252" s="70"/>
      <c r="I252" s="70"/>
      <c r="J252" s="70"/>
      <c r="K252" s="70"/>
      <c r="L252" s="70"/>
      <c r="M252" s="70">
        <v>151</v>
      </c>
      <c r="N252" s="70">
        <v>15</v>
      </c>
      <c r="O252" s="70"/>
      <c r="P252" s="70">
        <v>167</v>
      </c>
      <c r="Q252" s="70"/>
      <c r="R252" s="70">
        <v>35</v>
      </c>
      <c r="S252" s="70"/>
      <c r="T252" s="70">
        <v>15</v>
      </c>
      <c r="U252" s="70"/>
      <c r="V252" s="70">
        <f>96+31+59</f>
        <v>186</v>
      </c>
      <c r="W252" s="70"/>
      <c r="X252" s="70"/>
      <c r="Y252" s="70">
        <v>5</v>
      </c>
      <c r="Z252" s="70"/>
      <c r="AA252" s="70">
        <f>20</f>
        <v>20</v>
      </c>
      <c r="AB252" s="70">
        <f>SUM(E252:AA252)</f>
        <v>860</v>
      </c>
      <c r="AC252" s="70">
        <f>AD252-AB252</f>
        <v>1728</v>
      </c>
      <c r="AD252" s="70">
        <f>860+1728</f>
        <v>2588</v>
      </c>
      <c r="AE252" s="69">
        <f>(AB252/AD252)</f>
        <v>0.33230293663060279</v>
      </c>
      <c r="AF252" s="68" t="s">
        <v>71</v>
      </c>
    </row>
    <row r="253" spans="1:32" s="67" customFormat="1" ht="30" customHeight="1" x14ac:dyDescent="0.25">
      <c r="A253" s="71">
        <v>46154</v>
      </c>
      <c r="B253" s="70" t="s">
        <v>1</v>
      </c>
      <c r="C253" s="70" t="s">
        <v>16</v>
      </c>
      <c r="D253" s="70">
        <v>5</v>
      </c>
      <c r="E253" s="70">
        <v>206</v>
      </c>
      <c r="F253" s="70">
        <v>130</v>
      </c>
      <c r="G253" s="70">
        <v>43</v>
      </c>
      <c r="H253" s="70">
        <v>50</v>
      </c>
      <c r="I253" s="70"/>
      <c r="J253" s="70"/>
      <c r="K253" s="70"/>
      <c r="L253" s="70"/>
      <c r="M253" s="70">
        <f>73+25+98+89+50+40</f>
        <v>375</v>
      </c>
      <c r="N253" s="70"/>
      <c r="O253" s="70"/>
      <c r="P253" s="70">
        <f>117+75+93</f>
        <v>285</v>
      </c>
      <c r="Q253" s="70"/>
      <c r="R253" s="70">
        <f>72+23</f>
        <v>95</v>
      </c>
      <c r="S253" s="70"/>
      <c r="T253" s="70"/>
      <c r="U253" s="70"/>
      <c r="V253" s="70">
        <f>63+37+15+55</f>
        <v>170</v>
      </c>
      <c r="W253" s="70"/>
      <c r="X253" s="70"/>
      <c r="Y253" s="70"/>
      <c r="Z253" s="70"/>
      <c r="AA253" s="70"/>
      <c r="AB253" s="70">
        <f>SUM(E253:AA253)</f>
        <v>1354</v>
      </c>
      <c r="AC253" s="70">
        <f>AD253-AB253</f>
        <v>1720</v>
      </c>
      <c r="AD253" s="70">
        <f>1354+1720</f>
        <v>3074</v>
      </c>
      <c r="AE253" s="69">
        <f>(AB253/AD253)</f>
        <v>0.44046844502277166</v>
      </c>
      <c r="AF253" s="68" t="s">
        <v>71</v>
      </c>
    </row>
    <row r="254" spans="1:32" s="67" customFormat="1" ht="30" customHeight="1" x14ac:dyDescent="0.25">
      <c r="A254" s="71">
        <v>46154</v>
      </c>
      <c r="B254" s="70" t="s">
        <v>1</v>
      </c>
      <c r="C254" s="70" t="s">
        <v>15</v>
      </c>
      <c r="D254" s="70">
        <v>6</v>
      </c>
      <c r="E254" s="70">
        <v>196</v>
      </c>
      <c r="F254" s="70">
        <v>35</v>
      </c>
      <c r="G254" s="70">
        <v>71</v>
      </c>
      <c r="H254" s="70">
        <v>130</v>
      </c>
      <c r="I254" s="70"/>
      <c r="J254" s="70">
        <v>5</v>
      </c>
      <c r="K254" s="70">
        <v>10</v>
      </c>
      <c r="L254" s="70"/>
      <c r="M254" s="70">
        <v>109</v>
      </c>
      <c r="N254" s="70">
        <v>39</v>
      </c>
      <c r="O254" s="70"/>
      <c r="P254" s="70">
        <v>114</v>
      </c>
      <c r="Q254" s="70"/>
      <c r="R254" s="70">
        <v>25</v>
      </c>
      <c r="S254" s="70">
        <v>5</v>
      </c>
      <c r="T254" s="70">
        <v>36</v>
      </c>
      <c r="U254" s="70"/>
      <c r="V254" s="70">
        <f>78+5+5</f>
        <v>88</v>
      </c>
      <c r="W254" s="70"/>
      <c r="X254" s="70"/>
      <c r="Y254" s="70"/>
      <c r="Z254" s="70"/>
      <c r="AA254" s="70"/>
      <c r="AB254" s="70">
        <f>SUM(E254:AA254)</f>
        <v>863</v>
      </c>
      <c r="AC254" s="70">
        <f>AD254-AB254</f>
        <v>1296</v>
      </c>
      <c r="AD254" s="70">
        <f>863+1296</f>
        <v>2159</v>
      </c>
      <c r="AE254" s="69">
        <f>(AB254/AD254)</f>
        <v>0.39972209356183419</v>
      </c>
      <c r="AF254" s="68" t="s">
        <v>71</v>
      </c>
    </row>
    <row r="255" spans="1:32" s="67" customFormat="1" ht="30" customHeight="1" x14ac:dyDescent="0.25">
      <c r="A255" s="71">
        <v>46154</v>
      </c>
      <c r="B255" s="70" t="s">
        <v>1</v>
      </c>
      <c r="C255" s="70" t="s">
        <v>14</v>
      </c>
      <c r="D255" s="70">
        <v>7</v>
      </c>
      <c r="E255" s="70">
        <v>184</v>
      </c>
      <c r="F255" s="70">
        <v>10</v>
      </c>
      <c r="G255" s="70">
        <v>5</v>
      </c>
      <c r="H255" s="70">
        <v>40</v>
      </c>
      <c r="I255" s="70"/>
      <c r="J255" s="70"/>
      <c r="K255" s="70"/>
      <c r="L255" s="70">
        <v>15</v>
      </c>
      <c r="M255" s="70">
        <v>5</v>
      </c>
      <c r="N255" s="70">
        <v>25</v>
      </c>
      <c r="O255" s="70"/>
      <c r="P255" s="70">
        <v>20</v>
      </c>
      <c r="Q255" s="70">
        <v>15</v>
      </c>
      <c r="R255" s="70"/>
      <c r="S255" s="70"/>
      <c r="T255" s="70"/>
      <c r="U255" s="70"/>
      <c r="V255" s="70">
        <f>54+15</f>
        <v>69</v>
      </c>
      <c r="W255" s="70"/>
      <c r="X255" s="70"/>
      <c r="Y255" s="70">
        <v>10</v>
      </c>
      <c r="Z255" s="70"/>
      <c r="AA255" s="70"/>
      <c r="AB255" s="70">
        <f>SUM(E255:AA255)</f>
        <v>398</v>
      </c>
      <c r="AC255" s="70">
        <f>AD255-AB255</f>
        <v>798</v>
      </c>
      <c r="AD255" s="70">
        <f>398+798</f>
        <v>1196</v>
      </c>
      <c r="AE255" s="69">
        <f>(AB255/AD255)</f>
        <v>0.33277591973244147</v>
      </c>
      <c r="AF255" s="68" t="s">
        <v>71</v>
      </c>
    </row>
    <row r="256" spans="1:32" s="67" customFormat="1" ht="30" customHeight="1" x14ac:dyDescent="0.25">
      <c r="A256" s="71">
        <v>46154</v>
      </c>
      <c r="B256" s="70" t="s">
        <v>78</v>
      </c>
      <c r="C256" s="70" t="s">
        <v>77</v>
      </c>
      <c r="D256" s="70">
        <v>8</v>
      </c>
      <c r="E256" s="70">
        <f>20+25+3+46+10+10</f>
        <v>114</v>
      </c>
      <c r="F256" s="70">
        <f>15+10+13+5+3+5+16+2+3+5</f>
        <v>77</v>
      </c>
      <c r="G256" s="70">
        <f>8+15+7</f>
        <v>30</v>
      </c>
      <c r="H256" s="70">
        <f>52+3+5+3</f>
        <v>63</v>
      </c>
      <c r="I256" s="70"/>
      <c r="J256" s="70"/>
      <c r="K256" s="70"/>
      <c r="L256" s="70"/>
      <c r="M256" s="70">
        <f>15+5+10+10+5</f>
        <v>45</v>
      </c>
      <c r="N256" s="70"/>
      <c r="O256" s="70">
        <f>3+15</f>
        <v>18</v>
      </c>
      <c r="P256" s="70">
        <f>22+10+8+5+15</f>
        <v>60</v>
      </c>
      <c r="Q256" s="70">
        <f>10</f>
        <v>10</v>
      </c>
      <c r="R256" s="70"/>
      <c r="S256" s="70">
        <f>10</f>
        <v>10</v>
      </c>
      <c r="T256" s="70">
        <f>8</f>
        <v>8</v>
      </c>
      <c r="U256" s="70"/>
      <c r="V256" s="70">
        <f>25+35+22+3+10+10+55+6+22+10+20</f>
        <v>218</v>
      </c>
      <c r="W256" s="70"/>
      <c r="X256" s="70"/>
      <c r="Y256" s="70">
        <v>20</v>
      </c>
      <c r="Z256" s="70"/>
      <c r="AA256" s="70"/>
      <c r="AB256" s="70">
        <f>SUM(E256:AA256)</f>
        <v>673</v>
      </c>
      <c r="AC256" s="70">
        <f>AD256-AB256</f>
        <v>1008</v>
      </c>
      <c r="AD256" s="70">
        <f>673+1008</f>
        <v>1681</v>
      </c>
      <c r="AE256" s="69">
        <f>(AB256/AD256)</f>
        <v>0.40035693039857229</v>
      </c>
      <c r="AF256" s="68" t="s">
        <v>71</v>
      </c>
    </row>
    <row r="257" spans="1:32" s="67" customFormat="1" ht="30" customHeight="1" x14ac:dyDescent="0.25">
      <c r="A257" s="71">
        <v>46154</v>
      </c>
      <c r="B257" s="70" t="s">
        <v>1</v>
      </c>
      <c r="C257" s="70" t="s">
        <v>12</v>
      </c>
      <c r="D257" s="70">
        <v>9</v>
      </c>
      <c r="E257" s="70">
        <v>151</v>
      </c>
      <c r="F257" s="70">
        <v>33</v>
      </c>
      <c r="G257" s="70">
        <v>30</v>
      </c>
      <c r="H257" s="70">
        <v>65</v>
      </c>
      <c r="I257" s="70">
        <v>25</v>
      </c>
      <c r="J257" s="70"/>
      <c r="K257" s="70"/>
      <c r="L257" s="70"/>
      <c r="M257" s="70">
        <v>147</v>
      </c>
      <c r="N257" s="70">
        <v>15</v>
      </c>
      <c r="O257" s="70">
        <v>5</v>
      </c>
      <c r="P257" s="70">
        <v>15</v>
      </c>
      <c r="Q257" s="70"/>
      <c r="R257" s="70"/>
      <c r="S257" s="70"/>
      <c r="T257" s="70">
        <v>20</v>
      </c>
      <c r="U257" s="70"/>
      <c r="V257" s="70">
        <f>36+18+20</f>
        <v>74</v>
      </c>
      <c r="W257" s="70"/>
      <c r="X257" s="70"/>
      <c r="Y257" s="70">
        <v>45</v>
      </c>
      <c r="Z257" s="70"/>
      <c r="AA257" s="70"/>
      <c r="AB257" s="70">
        <f>SUM(E257:AA257)</f>
        <v>625</v>
      </c>
      <c r="AC257" s="70">
        <f>AD257-AB257</f>
        <v>1484</v>
      </c>
      <c r="AD257" s="70">
        <f>625+1484</f>
        <v>2109</v>
      </c>
      <c r="AE257" s="69">
        <f>(AB257/AD257)</f>
        <v>0.29634898055950687</v>
      </c>
      <c r="AF257" s="68" t="s">
        <v>71</v>
      </c>
    </row>
    <row r="258" spans="1:32" s="67" customFormat="1" ht="30" customHeight="1" x14ac:dyDescent="0.25">
      <c r="A258" s="71">
        <v>46154</v>
      </c>
      <c r="B258" s="70" t="s">
        <v>1</v>
      </c>
      <c r="C258" s="70" t="s">
        <v>0</v>
      </c>
      <c r="D258" s="70">
        <v>10</v>
      </c>
      <c r="E258" s="70">
        <v>45</v>
      </c>
      <c r="F258" s="70"/>
      <c r="G258" s="70">
        <v>31</v>
      </c>
      <c r="H258" s="70">
        <v>11</v>
      </c>
      <c r="I258" s="70"/>
      <c r="J258" s="70">
        <v>31</v>
      </c>
      <c r="K258" s="70"/>
      <c r="L258" s="70">
        <v>9</v>
      </c>
      <c r="M258" s="70">
        <v>3</v>
      </c>
      <c r="N258" s="70"/>
      <c r="O258" s="70">
        <v>12</v>
      </c>
      <c r="P258" s="70"/>
      <c r="Q258" s="70"/>
      <c r="R258" s="70"/>
      <c r="S258" s="70">
        <v>15</v>
      </c>
      <c r="T258" s="70"/>
      <c r="U258" s="70"/>
      <c r="V258" s="70">
        <f>20+40</f>
        <v>60</v>
      </c>
      <c r="W258" s="70"/>
      <c r="X258" s="70"/>
      <c r="Y258" s="70"/>
      <c r="Z258" s="70"/>
      <c r="AA258" s="70">
        <v>12</v>
      </c>
      <c r="AB258" s="70">
        <f>SUM(E258:AA258)</f>
        <v>229</v>
      </c>
      <c r="AC258" s="70">
        <f>AD258-AB258</f>
        <v>480</v>
      </c>
      <c r="AD258" s="70">
        <f>229+480</f>
        <v>709</v>
      </c>
      <c r="AE258" s="69">
        <f>(AB258/AD258)</f>
        <v>0.3229901269393512</v>
      </c>
      <c r="AF258" s="68" t="s">
        <v>71</v>
      </c>
    </row>
    <row r="259" spans="1:32" s="67" customFormat="1" ht="30" customHeight="1" x14ac:dyDescent="0.25">
      <c r="A259" s="71">
        <v>46154</v>
      </c>
      <c r="B259" s="70" t="s">
        <v>1</v>
      </c>
      <c r="C259" s="70" t="s">
        <v>10</v>
      </c>
      <c r="D259" s="70">
        <v>11</v>
      </c>
      <c r="E259" s="70">
        <v>111</v>
      </c>
      <c r="F259" s="70">
        <v>29</v>
      </c>
      <c r="G259" s="70">
        <v>5</v>
      </c>
      <c r="H259" s="70"/>
      <c r="I259" s="70"/>
      <c r="J259" s="70">
        <v>20</v>
      </c>
      <c r="K259" s="70"/>
      <c r="L259" s="70"/>
      <c r="M259" s="70">
        <v>33</v>
      </c>
      <c r="N259" s="70"/>
      <c r="O259" s="70"/>
      <c r="P259" s="70">
        <v>71</v>
      </c>
      <c r="Q259" s="70"/>
      <c r="R259" s="70"/>
      <c r="S259" s="70"/>
      <c r="T259" s="70"/>
      <c r="U259" s="70"/>
      <c r="V259" s="70">
        <f>4+32+6</f>
        <v>42</v>
      </c>
      <c r="W259" s="70"/>
      <c r="X259" s="70"/>
      <c r="Y259" s="70"/>
      <c r="Z259" s="70"/>
      <c r="AA259" s="70">
        <v>14</v>
      </c>
      <c r="AB259" s="70">
        <f>SUM(E259:AA259)</f>
        <v>325</v>
      </c>
      <c r="AC259" s="70">
        <f>AD259-AB259</f>
        <v>880</v>
      </c>
      <c r="AD259" s="70">
        <f>325+880</f>
        <v>1205</v>
      </c>
      <c r="AE259" s="69">
        <f>(AB259/AD259)</f>
        <v>0.26970954356846472</v>
      </c>
      <c r="AF259" s="68" t="s">
        <v>71</v>
      </c>
    </row>
    <row r="260" spans="1:32" s="67" customFormat="1" ht="30" customHeight="1" x14ac:dyDescent="0.25">
      <c r="A260" s="71">
        <v>46154</v>
      </c>
      <c r="B260" s="70" t="s">
        <v>78</v>
      </c>
      <c r="C260" s="70" t="s">
        <v>18</v>
      </c>
      <c r="D260" s="70">
        <v>13</v>
      </c>
      <c r="E260" s="70">
        <v>49</v>
      </c>
      <c r="F260" s="70">
        <v>17</v>
      </c>
      <c r="G260" s="70">
        <v>126</v>
      </c>
      <c r="H260" s="70">
        <v>25</v>
      </c>
      <c r="I260" s="70"/>
      <c r="J260" s="70"/>
      <c r="K260" s="70"/>
      <c r="L260" s="70"/>
      <c r="M260" s="70">
        <v>45</v>
      </c>
      <c r="N260" s="70"/>
      <c r="O260" s="70"/>
      <c r="P260" s="70">
        <v>81</v>
      </c>
      <c r="Q260" s="70">
        <v>13</v>
      </c>
      <c r="R260" s="70"/>
      <c r="S260" s="70"/>
      <c r="T260" s="70"/>
      <c r="U260" s="70"/>
      <c r="V260" s="70">
        <f>69+10+10+40+5</f>
        <v>134</v>
      </c>
      <c r="W260" s="70"/>
      <c r="X260" s="70"/>
      <c r="Y260" s="70"/>
      <c r="Z260" s="70"/>
      <c r="AA260" s="70"/>
      <c r="AB260" s="70">
        <f>SUM(E260:AA260)</f>
        <v>490</v>
      </c>
      <c r="AC260" s="70">
        <f>AD260-AB260</f>
        <v>1260</v>
      </c>
      <c r="AD260" s="70">
        <f>490+1260</f>
        <v>1750</v>
      </c>
      <c r="AE260" s="69">
        <f>(AB260/AD260)</f>
        <v>0.28000000000000003</v>
      </c>
      <c r="AF260" s="68" t="s">
        <v>71</v>
      </c>
    </row>
    <row r="261" spans="1:32" s="67" customFormat="1" ht="30" customHeight="1" x14ac:dyDescent="0.25">
      <c r="A261" s="71">
        <v>46154</v>
      </c>
      <c r="B261" s="70" t="s">
        <v>1</v>
      </c>
      <c r="C261" s="70" t="s">
        <v>8</v>
      </c>
      <c r="D261" s="70">
        <v>14</v>
      </c>
      <c r="E261" s="70">
        <v>20</v>
      </c>
      <c r="F261" s="70">
        <v>13</v>
      </c>
      <c r="G261" s="70"/>
      <c r="H261" s="70"/>
      <c r="I261" s="70"/>
      <c r="J261" s="70"/>
      <c r="K261" s="70">
        <v>9</v>
      </c>
      <c r="L261" s="70">
        <v>20</v>
      </c>
      <c r="M261" s="70">
        <f>24+5+18+13+15</f>
        <v>75</v>
      </c>
      <c r="N261" s="70"/>
      <c r="O261" s="70">
        <v>27</v>
      </c>
      <c r="P261" s="70">
        <v>5</v>
      </c>
      <c r="Q261" s="70"/>
      <c r="R261" s="70"/>
      <c r="S261" s="70"/>
      <c r="T261" s="70">
        <v>12</v>
      </c>
      <c r="U261" s="70"/>
      <c r="V261" s="70">
        <f>7</f>
        <v>7</v>
      </c>
      <c r="W261" s="70"/>
      <c r="X261" s="70"/>
      <c r="Y261" s="70"/>
      <c r="Z261" s="70"/>
      <c r="AA261" s="70">
        <f>7+15+10</f>
        <v>32</v>
      </c>
      <c r="AB261" s="70">
        <f>SUM(E261:AA261)</f>
        <v>220</v>
      </c>
      <c r="AC261" s="70">
        <f>AD261-AB261</f>
        <v>704</v>
      </c>
      <c r="AD261" s="70">
        <f>220+704</f>
        <v>924</v>
      </c>
      <c r="AE261" s="69">
        <f>(AB261/AD261)</f>
        <v>0.23809523809523808</v>
      </c>
      <c r="AF261" s="68" t="s">
        <v>71</v>
      </c>
    </row>
    <row r="262" spans="1:32" s="67" customFormat="1" ht="30" customHeight="1" x14ac:dyDescent="0.25">
      <c r="A262" s="71">
        <v>46154</v>
      </c>
      <c r="B262" s="70" t="s">
        <v>73</v>
      </c>
      <c r="C262" s="70" t="s">
        <v>7</v>
      </c>
      <c r="D262" s="70">
        <v>15</v>
      </c>
      <c r="E262" s="70">
        <v>3</v>
      </c>
      <c r="F262" s="70">
        <v>42</v>
      </c>
      <c r="G262" s="70"/>
      <c r="H262" s="70"/>
      <c r="I262" s="70"/>
      <c r="J262" s="70"/>
      <c r="K262" s="70">
        <v>13</v>
      </c>
      <c r="L262" s="70">
        <v>8</v>
      </c>
      <c r="M262" s="70">
        <v>60</v>
      </c>
      <c r="N262" s="70"/>
      <c r="O262" s="70"/>
      <c r="P262" s="70"/>
      <c r="Q262" s="70"/>
      <c r="R262" s="70"/>
      <c r="S262" s="70"/>
      <c r="T262" s="70">
        <v>7</v>
      </c>
      <c r="U262" s="70"/>
      <c r="V262" s="70">
        <f>5+13</f>
        <v>18</v>
      </c>
      <c r="W262" s="70"/>
      <c r="X262" s="70"/>
      <c r="Y262" s="70"/>
      <c r="Z262" s="70"/>
      <c r="AA262" s="70"/>
      <c r="AB262" s="70">
        <f>SUM(E262:AA262)</f>
        <v>151</v>
      </c>
      <c r="AC262" s="70">
        <f>AD262-AB262</f>
        <v>238</v>
      </c>
      <c r="AD262" s="70">
        <f>151+238</f>
        <v>389</v>
      </c>
      <c r="AE262" s="69">
        <f>(AB262/AD262)</f>
        <v>0.38817480719794345</v>
      </c>
      <c r="AF262" s="68" t="s">
        <v>71</v>
      </c>
    </row>
    <row r="263" spans="1:32" s="67" customFormat="1" ht="30" customHeight="1" x14ac:dyDescent="0.25">
      <c r="A263" s="71">
        <v>46154</v>
      </c>
      <c r="B263" s="70" t="s">
        <v>1</v>
      </c>
      <c r="C263" s="70" t="s">
        <v>10</v>
      </c>
      <c r="D263" s="70">
        <v>16</v>
      </c>
      <c r="E263" s="70">
        <v>106</v>
      </c>
      <c r="F263" s="70">
        <v>23</v>
      </c>
      <c r="G263" s="70">
        <v>14</v>
      </c>
      <c r="H263" s="70">
        <v>6</v>
      </c>
      <c r="I263" s="70"/>
      <c r="J263" s="70"/>
      <c r="K263" s="70">
        <v>6</v>
      </c>
      <c r="L263" s="70"/>
      <c r="M263" s="70">
        <v>102</v>
      </c>
      <c r="N263" s="70"/>
      <c r="O263" s="70"/>
      <c r="P263" s="70">
        <v>89</v>
      </c>
      <c r="Q263" s="70"/>
      <c r="R263" s="70"/>
      <c r="S263" s="70"/>
      <c r="T263" s="70">
        <v>31</v>
      </c>
      <c r="U263" s="70"/>
      <c r="V263" s="70">
        <f>34+4</f>
        <v>38</v>
      </c>
      <c r="W263" s="70"/>
      <c r="X263" s="70"/>
      <c r="Y263" s="70"/>
      <c r="Z263" s="70"/>
      <c r="AA263" s="70">
        <f>16+5</f>
        <v>21</v>
      </c>
      <c r="AB263" s="70">
        <f>SUM(E263:AA263)</f>
        <v>436</v>
      </c>
      <c r="AC263" s="70">
        <f>AD263-AB263</f>
        <v>880</v>
      </c>
      <c r="AD263" s="70">
        <f>436+880</f>
        <v>1316</v>
      </c>
      <c r="AE263" s="69">
        <f>(AB263/AD263)</f>
        <v>0.33130699088145898</v>
      </c>
      <c r="AF263" s="68" t="s">
        <v>71</v>
      </c>
    </row>
    <row r="264" spans="1:32" s="67" customFormat="1" ht="30" customHeight="1" x14ac:dyDescent="0.25">
      <c r="A264" s="71">
        <v>46154</v>
      </c>
      <c r="B264" s="70" t="s">
        <v>73</v>
      </c>
      <c r="C264" s="70" t="s">
        <v>12</v>
      </c>
      <c r="D264" s="70">
        <v>17</v>
      </c>
      <c r="E264" s="70">
        <f>52+15+61+40</f>
        <v>168</v>
      </c>
      <c r="F264" s="70"/>
      <c r="G264" s="70">
        <f>14</f>
        <v>14</v>
      </c>
      <c r="H264" s="70">
        <f>5</f>
        <v>5</v>
      </c>
      <c r="I264" s="70">
        <f>10</f>
        <v>10</v>
      </c>
      <c r="J264" s="70"/>
      <c r="K264" s="70"/>
      <c r="L264" s="70"/>
      <c r="M264" s="70">
        <f>5+29</f>
        <v>34</v>
      </c>
      <c r="N264" s="70"/>
      <c r="O264" s="70"/>
      <c r="P264" s="70">
        <f>10+9</f>
        <v>19</v>
      </c>
      <c r="Q264" s="70"/>
      <c r="R264" s="70"/>
      <c r="S264" s="70"/>
      <c r="T264" s="70"/>
      <c r="U264" s="70"/>
      <c r="V264" s="70">
        <f>32+8+42</f>
        <v>82</v>
      </c>
      <c r="W264" s="70"/>
      <c r="X264" s="70"/>
      <c r="Y264" s="70"/>
      <c r="Z264" s="70"/>
      <c r="AA264" s="70"/>
      <c r="AB264" s="70">
        <f>SUM(E264:AA264)</f>
        <v>332</v>
      </c>
      <c r="AC264" s="70">
        <f>AD264-AB264</f>
        <v>1491</v>
      </c>
      <c r="AD264" s="70">
        <f>332+1491</f>
        <v>1823</v>
      </c>
      <c r="AE264" s="69">
        <f>(AB264/AD264)</f>
        <v>0.18211738891936369</v>
      </c>
      <c r="AF264" s="68" t="s">
        <v>71</v>
      </c>
    </row>
    <row r="265" spans="1:32" s="67" customFormat="1" ht="30" customHeight="1" x14ac:dyDescent="0.25">
      <c r="A265" s="71">
        <v>46154</v>
      </c>
      <c r="B265" s="70" t="s">
        <v>1</v>
      </c>
      <c r="C265" s="70" t="s">
        <v>6</v>
      </c>
      <c r="D265" s="70">
        <v>18</v>
      </c>
      <c r="E265" s="70">
        <v>61</v>
      </c>
      <c r="F265" s="70">
        <v>57</v>
      </c>
      <c r="G265" s="70"/>
      <c r="H265" s="70">
        <v>22</v>
      </c>
      <c r="I265" s="70"/>
      <c r="J265" s="70"/>
      <c r="K265" s="70">
        <v>28</v>
      </c>
      <c r="L265" s="70"/>
      <c r="M265" s="70">
        <v>53</v>
      </c>
      <c r="N265" s="70">
        <v>4</v>
      </c>
      <c r="O265" s="70">
        <v>7</v>
      </c>
      <c r="P265" s="70"/>
      <c r="Q265" s="70"/>
      <c r="R265" s="70"/>
      <c r="S265" s="70">
        <v>13</v>
      </c>
      <c r="T265" s="70">
        <v>68</v>
      </c>
      <c r="U265" s="70"/>
      <c r="V265" s="70">
        <f>18+16</f>
        <v>34</v>
      </c>
      <c r="W265" s="70"/>
      <c r="X265" s="70"/>
      <c r="Y265" s="70"/>
      <c r="Z265" s="70"/>
      <c r="AA265" s="70"/>
      <c r="AB265" s="70">
        <f>SUM(E265:AA265)</f>
        <v>347</v>
      </c>
      <c r="AC265" s="70">
        <f>AD265-AB265</f>
        <v>1008</v>
      </c>
      <c r="AD265" s="70">
        <f>347+1008</f>
        <v>1355</v>
      </c>
      <c r="AE265" s="69">
        <f>(AB265/AD265)</f>
        <v>0.25608856088560883</v>
      </c>
      <c r="AF265" s="68" t="s">
        <v>71</v>
      </c>
    </row>
    <row r="266" spans="1:32" s="67" customFormat="1" ht="30" customHeight="1" x14ac:dyDescent="0.25">
      <c r="A266" s="71">
        <v>46154</v>
      </c>
      <c r="B266" s="70" t="s">
        <v>1</v>
      </c>
      <c r="C266" s="70" t="s">
        <v>2</v>
      </c>
      <c r="D266" s="70">
        <v>19</v>
      </c>
      <c r="E266" s="70">
        <v>63</v>
      </c>
      <c r="F266" s="70">
        <v>28</v>
      </c>
      <c r="G266" s="70">
        <v>34</v>
      </c>
      <c r="H266" s="70">
        <v>24</v>
      </c>
      <c r="I266" s="70">
        <v>8</v>
      </c>
      <c r="J266" s="70"/>
      <c r="K266" s="70"/>
      <c r="L266" s="70"/>
      <c r="M266" s="70">
        <v>2</v>
      </c>
      <c r="N266" s="70">
        <v>8</v>
      </c>
      <c r="O266" s="70"/>
      <c r="P266" s="70">
        <v>7</v>
      </c>
      <c r="Q266" s="70"/>
      <c r="R266" s="70"/>
      <c r="S266" s="70"/>
      <c r="T266" s="70">
        <v>16</v>
      </c>
      <c r="U266" s="70"/>
      <c r="V266" s="70">
        <f>11+7</f>
        <v>18</v>
      </c>
      <c r="W266" s="70">
        <f>2</f>
        <v>2</v>
      </c>
      <c r="X266" s="70"/>
      <c r="Y266" s="70"/>
      <c r="Z266" s="70"/>
      <c r="AA266" s="70"/>
      <c r="AB266" s="70">
        <f>SUM(E266:AA266)</f>
        <v>210</v>
      </c>
      <c r="AC266" s="70">
        <f>AD266-AB266</f>
        <v>840</v>
      </c>
      <c r="AD266" s="70">
        <f>210+840</f>
        <v>1050</v>
      </c>
      <c r="AE266" s="69">
        <f>(AB266/AD266)</f>
        <v>0.2</v>
      </c>
      <c r="AF266" s="68" t="s">
        <v>71</v>
      </c>
    </row>
    <row r="267" spans="1:32" s="67" customFormat="1" ht="30" customHeight="1" x14ac:dyDescent="0.25">
      <c r="A267" s="71">
        <v>46154</v>
      </c>
      <c r="B267" s="70" t="s">
        <v>1</v>
      </c>
      <c r="C267" s="70" t="s">
        <v>9</v>
      </c>
      <c r="D267" s="70">
        <v>20</v>
      </c>
      <c r="E267" s="70">
        <v>60</v>
      </c>
      <c r="F267" s="70">
        <v>4</v>
      </c>
      <c r="G267" s="70"/>
      <c r="H267" s="70">
        <v>5</v>
      </c>
      <c r="I267" s="70"/>
      <c r="J267" s="70"/>
      <c r="K267" s="70">
        <v>22</v>
      </c>
      <c r="L267" s="70"/>
      <c r="M267" s="70">
        <v>32</v>
      </c>
      <c r="N267" s="70"/>
      <c r="O267" s="70"/>
      <c r="P267" s="70">
        <v>25</v>
      </c>
      <c r="Q267" s="70"/>
      <c r="R267" s="70"/>
      <c r="S267" s="70"/>
      <c r="T267" s="70">
        <v>50</v>
      </c>
      <c r="U267" s="70"/>
      <c r="V267" s="70">
        <v>35</v>
      </c>
      <c r="W267" s="70"/>
      <c r="X267" s="70"/>
      <c r="Y267" s="70"/>
      <c r="Z267" s="70"/>
      <c r="AA267" s="70"/>
      <c r="AB267" s="70">
        <f>SUM(E267:AA267)</f>
        <v>233</v>
      </c>
      <c r="AC267" s="70">
        <f>AD267-AB267</f>
        <v>656</v>
      </c>
      <c r="AD267" s="70">
        <f>233+656</f>
        <v>889</v>
      </c>
      <c r="AE267" s="69">
        <f>(AB267/AD267)</f>
        <v>0.26209223847019125</v>
      </c>
      <c r="AF267" s="68" t="s">
        <v>71</v>
      </c>
    </row>
    <row r="268" spans="1:32" s="67" customFormat="1" ht="30" customHeight="1" x14ac:dyDescent="0.25">
      <c r="A268" s="71">
        <v>46154</v>
      </c>
      <c r="B268" s="70" t="s">
        <v>1</v>
      </c>
      <c r="C268" s="70" t="s">
        <v>75</v>
      </c>
      <c r="D268" s="70">
        <v>21</v>
      </c>
      <c r="E268" s="70">
        <v>191</v>
      </c>
      <c r="F268" s="70">
        <v>15</v>
      </c>
      <c r="G268" s="70"/>
      <c r="H268" s="70">
        <v>25</v>
      </c>
      <c r="I268" s="70">
        <v>10</v>
      </c>
      <c r="J268" s="70">
        <v>5</v>
      </c>
      <c r="K268" s="70"/>
      <c r="L268" s="70"/>
      <c r="M268" s="70">
        <v>42</v>
      </c>
      <c r="N268" s="70">
        <v>13</v>
      </c>
      <c r="O268" s="70">
        <v>5</v>
      </c>
      <c r="P268" s="70">
        <v>44</v>
      </c>
      <c r="Q268" s="70">
        <v>18</v>
      </c>
      <c r="R268" s="70"/>
      <c r="S268" s="70">
        <v>5</v>
      </c>
      <c r="T268" s="70"/>
      <c r="U268" s="70"/>
      <c r="V268" s="70">
        <v>99</v>
      </c>
      <c r="W268" s="70"/>
      <c r="X268" s="70"/>
      <c r="Y268" s="70"/>
      <c r="Z268" s="70"/>
      <c r="AA268" s="70"/>
      <c r="AB268" s="70">
        <f>SUM(E268:AA268)</f>
        <v>472</v>
      </c>
      <c r="AC268" s="70">
        <f>AD268-AB268</f>
        <v>840</v>
      </c>
      <c r="AD268" s="70">
        <f>472+840</f>
        <v>1312</v>
      </c>
      <c r="AE268" s="69">
        <f>(AB268/AD268)</f>
        <v>0.3597560975609756</v>
      </c>
      <c r="AF268" s="68" t="s">
        <v>71</v>
      </c>
    </row>
    <row r="269" spans="1:32" s="67" customFormat="1" ht="30" customHeight="1" x14ac:dyDescent="0.25">
      <c r="A269" s="71">
        <v>46154</v>
      </c>
      <c r="B269" s="70" t="s">
        <v>1</v>
      </c>
      <c r="C269" s="70" t="s">
        <v>8</v>
      </c>
      <c r="D269" s="70">
        <v>22</v>
      </c>
      <c r="E269" s="70">
        <f>15+5</f>
        <v>20</v>
      </c>
      <c r="F269" s="70">
        <f>10+3+8</f>
        <v>21</v>
      </c>
      <c r="G269" s="70">
        <f>19</f>
        <v>19</v>
      </c>
      <c r="H269" s="70">
        <f>14+21</f>
        <v>35</v>
      </c>
      <c r="I269" s="70"/>
      <c r="J269" s="70">
        <f>20</f>
        <v>20</v>
      </c>
      <c r="K269" s="70">
        <f>4</f>
        <v>4</v>
      </c>
      <c r="L269" s="70">
        <f>2+10</f>
        <v>12</v>
      </c>
      <c r="M269" s="70">
        <f>32+60+14+55+16</f>
        <v>177</v>
      </c>
      <c r="N269" s="70"/>
      <c r="O269" s="70">
        <f>55</f>
        <v>55</v>
      </c>
      <c r="P269" s="70">
        <f>23</f>
        <v>23</v>
      </c>
      <c r="Q269" s="70"/>
      <c r="R269" s="70"/>
      <c r="S269" s="70"/>
      <c r="T269" s="70"/>
      <c r="U269" s="70"/>
      <c r="V269" s="70">
        <f>5+5</f>
        <v>10</v>
      </c>
      <c r="W269" s="70"/>
      <c r="X269" s="70"/>
      <c r="Y269" s="70"/>
      <c r="Z269" s="70"/>
      <c r="AA269" s="70"/>
      <c r="AB269" s="70">
        <f>SUM(E269:AA269)</f>
        <v>396</v>
      </c>
      <c r="AC269" s="70">
        <f>AD269-AB269</f>
        <v>737</v>
      </c>
      <c r="AD269" s="70">
        <f>396+737</f>
        <v>1133</v>
      </c>
      <c r="AE269" s="69">
        <f>(AB269/AD269)</f>
        <v>0.34951456310679613</v>
      </c>
      <c r="AF269" s="68" t="s">
        <v>71</v>
      </c>
    </row>
    <row r="270" spans="1:32" s="67" customFormat="1" ht="30" customHeight="1" x14ac:dyDescent="0.25">
      <c r="A270" s="71">
        <v>46154</v>
      </c>
      <c r="B270" s="70" t="s">
        <v>73</v>
      </c>
      <c r="C270" s="70" t="s">
        <v>7</v>
      </c>
      <c r="D270" s="70">
        <v>23</v>
      </c>
      <c r="E270" s="70"/>
      <c r="F270" s="70">
        <v>15</v>
      </c>
      <c r="G270" s="70">
        <v>2</v>
      </c>
      <c r="H270" s="70"/>
      <c r="I270" s="70"/>
      <c r="J270" s="70">
        <v>10</v>
      </c>
      <c r="K270" s="70"/>
      <c r="L270" s="70"/>
      <c r="M270" s="70">
        <f>10+2+4+2+6+8</f>
        <v>32</v>
      </c>
      <c r="N270" s="70"/>
      <c r="O270" s="70"/>
      <c r="P270" s="70"/>
      <c r="Q270" s="70"/>
      <c r="R270" s="70"/>
      <c r="S270" s="70"/>
      <c r="T270" s="70"/>
      <c r="U270" s="70"/>
      <c r="V270" s="70">
        <f>2+3+12+16+3+10</f>
        <v>46</v>
      </c>
      <c r="W270" s="70"/>
      <c r="X270" s="70"/>
      <c r="Y270" s="70"/>
      <c r="Z270" s="70"/>
      <c r="AA270" s="70"/>
      <c r="AB270" s="70">
        <f>SUM(E270:AA270)</f>
        <v>105</v>
      </c>
      <c r="AC270" s="70">
        <f>AD270-AB270</f>
        <v>147</v>
      </c>
      <c r="AD270" s="70">
        <f>105+147</f>
        <v>252</v>
      </c>
      <c r="AE270" s="69">
        <f>(AB270/AD270)</f>
        <v>0.41666666666666669</v>
      </c>
      <c r="AF270" s="68" t="s">
        <v>71</v>
      </c>
    </row>
    <row r="271" spans="1:32" s="67" customFormat="1" ht="30" customHeight="1" x14ac:dyDescent="0.25">
      <c r="A271" s="71">
        <v>46154</v>
      </c>
      <c r="B271" s="70" t="s">
        <v>1</v>
      </c>
      <c r="C271" s="70" t="s">
        <v>6</v>
      </c>
      <c r="D271" s="70">
        <v>24</v>
      </c>
      <c r="E271" s="70">
        <f>15+15</f>
        <v>30</v>
      </c>
      <c r="F271" s="70">
        <f>30</f>
        <v>30</v>
      </c>
      <c r="G271" s="70"/>
      <c r="H271" s="70"/>
      <c r="I271" s="70"/>
      <c r="J271" s="70"/>
      <c r="K271" s="70">
        <f>15</f>
        <v>15</v>
      </c>
      <c r="L271" s="70"/>
      <c r="M271" s="70">
        <f>10+7+18</f>
        <v>35</v>
      </c>
      <c r="N271" s="70"/>
      <c r="O271" s="70"/>
      <c r="P271" s="70">
        <f>3+10</f>
        <v>13</v>
      </c>
      <c r="Q271" s="70"/>
      <c r="R271" s="70"/>
      <c r="S271" s="70"/>
      <c r="T271" s="70"/>
      <c r="U271" s="70"/>
      <c r="V271" s="70">
        <f>10+5+5+10</f>
        <v>30</v>
      </c>
      <c r="W271" s="70"/>
      <c r="X271" s="70"/>
      <c r="Y271" s="70"/>
      <c r="Z271" s="70"/>
      <c r="AA271" s="70">
        <v>5</v>
      </c>
      <c r="AB271" s="70">
        <f>SUM(E271:AA271)</f>
        <v>158</v>
      </c>
      <c r="AC271" s="70">
        <f>AD271-AB271</f>
        <v>1024</v>
      </c>
      <c r="AD271" s="70">
        <f>158+1024</f>
        <v>1182</v>
      </c>
      <c r="AE271" s="69">
        <f>(AB271/AD271)</f>
        <v>0.13367174280879865</v>
      </c>
      <c r="AF271" s="68" t="s">
        <v>71</v>
      </c>
    </row>
    <row r="272" spans="1:32" s="67" customFormat="1" ht="30" customHeight="1" x14ac:dyDescent="0.25">
      <c r="A272" s="71">
        <v>46154</v>
      </c>
      <c r="B272" s="70" t="s">
        <v>5</v>
      </c>
      <c r="C272" s="70" t="s">
        <v>4</v>
      </c>
      <c r="D272" s="70">
        <v>25</v>
      </c>
      <c r="E272" s="70">
        <f>125+80+50+20+60+25+45</f>
        <v>405</v>
      </c>
      <c r="F272" s="70"/>
      <c r="G272" s="70"/>
      <c r="H272" s="70">
        <f>15+40+45+30+15</f>
        <v>145</v>
      </c>
      <c r="I272" s="70"/>
      <c r="J272" s="70"/>
      <c r="K272" s="70">
        <f>15</f>
        <v>15</v>
      </c>
      <c r="L272" s="70"/>
      <c r="M272" s="70">
        <f>30+65+5</f>
        <v>100</v>
      </c>
      <c r="N272" s="70"/>
      <c r="O272" s="70"/>
      <c r="P272" s="70">
        <f>10</f>
        <v>10</v>
      </c>
      <c r="Q272" s="70"/>
      <c r="R272" s="70"/>
      <c r="S272" s="70"/>
      <c r="T272" s="70"/>
      <c r="U272" s="70"/>
      <c r="V272" s="70">
        <f>35+55</f>
        <v>90</v>
      </c>
      <c r="W272" s="70"/>
      <c r="X272" s="70"/>
      <c r="Y272" s="70"/>
      <c r="Z272" s="70"/>
      <c r="AA272" s="70"/>
      <c r="AB272" s="70">
        <f>SUM(E272:AA272)</f>
        <v>765</v>
      </c>
      <c r="AC272" s="70">
        <f>AD272-AB272</f>
        <v>2016</v>
      </c>
      <c r="AD272" s="70">
        <f>765+2016</f>
        <v>2781</v>
      </c>
      <c r="AE272" s="69">
        <f>(AB272/AD272)</f>
        <v>0.27508090614886732</v>
      </c>
      <c r="AF272" s="68" t="s">
        <v>74</v>
      </c>
    </row>
    <row r="273" spans="1:32" s="67" customFormat="1" ht="30" customHeight="1" x14ac:dyDescent="0.25">
      <c r="A273" s="71">
        <v>46154</v>
      </c>
      <c r="B273" s="70" t="s">
        <v>1</v>
      </c>
      <c r="C273" s="70" t="s">
        <v>3</v>
      </c>
      <c r="D273" s="70">
        <v>26</v>
      </c>
      <c r="E273" s="70"/>
      <c r="F273" s="70">
        <v>2</v>
      </c>
      <c r="G273" s="70"/>
      <c r="H273" s="70"/>
      <c r="I273" s="70"/>
      <c r="J273" s="70"/>
      <c r="K273" s="70"/>
      <c r="L273" s="70"/>
      <c r="M273" s="70">
        <v>6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>
        <f>SUM(E273:AA273)</f>
        <v>8</v>
      </c>
      <c r="AC273" s="70">
        <f>AD273-AB273</f>
        <v>42</v>
      </c>
      <c r="AD273" s="70">
        <f>8+42</f>
        <v>50</v>
      </c>
      <c r="AE273" s="69">
        <f>(AB273/AD273)</f>
        <v>0.16</v>
      </c>
      <c r="AF273" s="68" t="s">
        <v>71</v>
      </c>
    </row>
    <row r="274" spans="1:32" s="67" customFormat="1" ht="30" customHeight="1" x14ac:dyDescent="0.25">
      <c r="A274" s="71">
        <v>46154</v>
      </c>
      <c r="B274" s="70" t="s">
        <v>1</v>
      </c>
      <c r="C274" s="70" t="s">
        <v>2</v>
      </c>
      <c r="D274" s="70">
        <v>27</v>
      </c>
      <c r="E274" s="70">
        <v>315</v>
      </c>
      <c r="F274" s="70">
        <v>10</v>
      </c>
      <c r="G274" s="70">
        <v>55</v>
      </c>
      <c r="H274" s="70">
        <v>35</v>
      </c>
      <c r="I274" s="70"/>
      <c r="J274" s="70"/>
      <c r="K274" s="70"/>
      <c r="L274" s="70"/>
      <c r="M274" s="70">
        <v>15</v>
      </c>
      <c r="N274" s="70"/>
      <c r="O274" s="70"/>
      <c r="P274" s="70">
        <v>20</v>
      </c>
      <c r="Q274" s="70"/>
      <c r="R274" s="70"/>
      <c r="S274" s="70"/>
      <c r="T274" s="70">
        <v>25</v>
      </c>
      <c r="U274" s="70"/>
      <c r="V274" s="70">
        <f>67+23+10</f>
        <v>100</v>
      </c>
      <c r="W274" s="70"/>
      <c r="X274" s="70"/>
      <c r="Y274" s="70"/>
      <c r="Z274" s="70"/>
      <c r="AA274" s="70"/>
      <c r="AB274" s="70">
        <f>SUM(E274:AA274)</f>
        <v>575</v>
      </c>
      <c r="AC274" s="70">
        <f>AD274-AB274</f>
        <v>957</v>
      </c>
      <c r="AD274" s="70">
        <f>575+957</f>
        <v>1532</v>
      </c>
      <c r="AE274" s="69">
        <f>(AB274/AD274)</f>
        <v>0.37532637075718017</v>
      </c>
      <c r="AF274" s="68" t="s">
        <v>71</v>
      </c>
    </row>
    <row r="275" spans="1:32" s="67" customFormat="1" ht="30" customHeight="1" x14ac:dyDescent="0.25">
      <c r="A275" s="71">
        <v>46154</v>
      </c>
      <c r="B275" s="70" t="s">
        <v>1</v>
      </c>
      <c r="C275" s="70" t="s">
        <v>0</v>
      </c>
      <c r="D275" s="70">
        <v>28</v>
      </c>
      <c r="E275" s="70"/>
      <c r="F275" s="70">
        <f>7+4+5+8+12+2</f>
        <v>38</v>
      </c>
      <c r="G275" s="70">
        <f>5+5+8+8+17+5</f>
        <v>48</v>
      </c>
      <c r="H275" s="70">
        <f>10+10</f>
        <v>20</v>
      </c>
      <c r="I275" s="70">
        <f>7</f>
        <v>7</v>
      </c>
      <c r="J275" s="70"/>
      <c r="K275" s="70"/>
      <c r="L275" s="70"/>
      <c r="M275" s="70">
        <f>5+16+5+5</f>
        <v>31</v>
      </c>
      <c r="N275" s="70"/>
      <c r="O275" s="70"/>
      <c r="P275" s="70">
        <f>18+4+9+5</f>
        <v>36</v>
      </c>
      <c r="Q275" s="70"/>
      <c r="R275" s="70"/>
      <c r="S275" s="70"/>
      <c r="T275" s="70"/>
      <c r="U275" s="70"/>
      <c r="V275" s="70">
        <f>8+2+5+8</f>
        <v>23</v>
      </c>
      <c r="W275" s="70"/>
      <c r="X275" s="70"/>
      <c r="Y275" s="70"/>
      <c r="Z275" s="70"/>
      <c r="AA275" s="70"/>
      <c r="AB275" s="70">
        <f>SUM(E275:AA275)</f>
        <v>203</v>
      </c>
      <c r="AC275" s="70">
        <f>AD275-AB275</f>
        <v>480</v>
      </c>
      <c r="AD275" s="70">
        <f>203+480</f>
        <v>683</v>
      </c>
      <c r="AE275" s="69">
        <f>(AB275/AD275)</f>
        <v>0.29721815519765737</v>
      </c>
      <c r="AF275" s="68" t="s">
        <v>71</v>
      </c>
    </row>
    <row r="276" spans="1:32" s="72" customFormat="1" ht="30" customHeight="1" x14ac:dyDescent="0.25">
      <c r="A276" s="76">
        <v>46155</v>
      </c>
      <c r="B276" s="75" t="s">
        <v>1</v>
      </c>
      <c r="C276" s="75" t="s">
        <v>3</v>
      </c>
      <c r="D276" s="75">
        <v>1</v>
      </c>
      <c r="E276" s="75">
        <v>21</v>
      </c>
      <c r="F276" s="75">
        <v>15</v>
      </c>
      <c r="G276" s="75">
        <v>6</v>
      </c>
      <c r="H276" s="75">
        <v>7</v>
      </c>
      <c r="I276" s="75"/>
      <c r="J276" s="75">
        <v>13</v>
      </c>
      <c r="K276" s="75">
        <v>5</v>
      </c>
      <c r="L276" s="75">
        <v>10</v>
      </c>
      <c r="M276" s="75">
        <v>25</v>
      </c>
      <c r="N276" s="75"/>
      <c r="O276" s="75"/>
      <c r="P276" s="75">
        <v>9</v>
      </c>
      <c r="Q276" s="75"/>
      <c r="R276" s="75"/>
      <c r="S276" s="75"/>
      <c r="T276" s="75">
        <v>10</v>
      </c>
      <c r="U276" s="75"/>
      <c r="V276" s="75">
        <v>25</v>
      </c>
      <c r="W276" s="75"/>
      <c r="X276" s="75"/>
      <c r="Y276" s="75"/>
      <c r="Z276" s="75"/>
      <c r="AA276" s="75"/>
      <c r="AB276" s="75">
        <f>SUM(E276:AA276)</f>
        <v>146</v>
      </c>
      <c r="AC276" s="75">
        <f>AD276-AB276</f>
        <v>196</v>
      </c>
      <c r="AD276" s="75">
        <f>146+196</f>
        <v>342</v>
      </c>
      <c r="AE276" s="74">
        <f>(AB276/AD276)</f>
        <v>0.42690058479532161</v>
      </c>
      <c r="AF276" s="73" t="s">
        <v>71</v>
      </c>
    </row>
    <row r="277" spans="1:32" s="67" customFormat="1" ht="30" customHeight="1" x14ac:dyDescent="0.25">
      <c r="A277" s="71">
        <v>46155</v>
      </c>
      <c r="B277" s="70" t="s">
        <v>78</v>
      </c>
      <c r="C277" s="70" t="s">
        <v>80</v>
      </c>
      <c r="D277" s="70">
        <v>2</v>
      </c>
      <c r="E277" s="70">
        <v>286</v>
      </c>
      <c r="F277" s="70">
        <v>35</v>
      </c>
      <c r="G277" s="70">
        <v>19</v>
      </c>
      <c r="H277" s="70"/>
      <c r="I277" s="70">
        <v>39</v>
      </c>
      <c r="J277" s="70"/>
      <c r="K277" s="70"/>
      <c r="L277" s="70"/>
      <c r="M277" s="70">
        <f>46+19</f>
        <v>65</v>
      </c>
      <c r="N277" s="70"/>
      <c r="O277" s="70"/>
      <c r="P277" s="70">
        <v>38</v>
      </c>
      <c r="Q277" s="70"/>
      <c r="R277" s="70">
        <v>49</v>
      </c>
      <c r="S277" s="70"/>
      <c r="T277" s="70">
        <v>24</v>
      </c>
      <c r="U277" s="70"/>
      <c r="V277" s="70">
        <f>107+48+15</f>
        <v>170</v>
      </c>
      <c r="W277" s="70"/>
      <c r="X277" s="70"/>
      <c r="Y277" s="70"/>
      <c r="Z277" s="70"/>
      <c r="AA277" s="70"/>
      <c r="AB277" s="70">
        <f>SUM(E277:AA277)</f>
        <v>725</v>
      </c>
      <c r="AC277" s="70">
        <f>AD277-AB277</f>
        <v>1280</v>
      </c>
      <c r="AD277" s="70">
        <f>725+1280</f>
        <v>2005</v>
      </c>
      <c r="AE277" s="69">
        <f>(AB277/AD277)</f>
        <v>0.36159600997506236</v>
      </c>
      <c r="AF277" s="68" t="s">
        <v>71</v>
      </c>
    </row>
    <row r="278" spans="1:32" s="67" customFormat="1" ht="30" customHeight="1" x14ac:dyDescent="0.25">
      <c r="A278" s="71">
        <v>46155</v>
      </c>
      <c r="B278" s="70" t="s">
        <v>78</v>
      </c>
      <c r="C278" s="70" t="s">
        <v>79</v>
      </c>
      <c r="D278" s="70">
        <v>3</v>
      </c>
      <c r="E278" s="70">
        <f>4</f>
        <v>4</v>
      </c>
      <c r="F278" s="70">
        <f>2+2+1</f>
        <v>5</v>
      </c>
      <c r="G278" s="70">
        <f>3+5+2</f>
        <v>10</v>
      </c>
      <c r="H278" s="70">
        <f>5+4+2+5</f>
        <v>16</v>
      </c>
      <c r="I278" s="70"/>
      <c r="J278" s="70"/>
      <c r="K278" s="70">
        <f>2+5+3</f>
        <v>10</v>
      </c>
      <c r="L278" s="70"/>
      <c r="M278" s="70"/>
      <c r="N278" s="70"/>
      <c r="O278" s="70"/>
      <c r="P278" s="70">
        <f>4+4+2+2</f>
        <v>12</v>
      </c>
      <c r="Q278" s="70"/>
      <c r="R278" s="70">
        <f>3</f>
        <v>3</v>
      </c>
      <c r="S278" s="70"/>
      <c r="T278" s="70">
        <f>3</f>
        <v>3</v>
      </c>
      <c r="U278" s="70"/>
      <c r="V278" s="70">
        <f>3+4+11+4+3+3+2+3+2+3+2+3</f>
        <v>43</v>
      </c>
      <c r="W278" s="70"/>
      <c r="X278" s="70"/>
      <c r="Y278" s="70">
        <v>3</v>
      </c>
      <c r="Z278" s="70"/>
      <c r="AA278" s="70"/>
      <c r="AB278" s="70">
        <f>SUM(E278:AA278)</f>
        <v>109</v>
      </c>
      <c r="AC278" s="70">
        <f>AD278-AB278</f>
        <v>140</v>
      </c>
      <c r="AD278" s="70">
        <f>109+140</f>
        <v>249</v>
      </c>
      <c r="AE278" s="69">
        <f>(AB278/AD278)</f>
        <v>0.43775100401606426</v>
      </c>
      <c r="AF278" s="68" t="s">
        <v>71</v>
      </c>
    </row>
    <row r="279" spans="1:32" s="67" customFormat="1" ht="30" customHeight="1" x14ac:dyDescent="0.25">
      <c r="A279" s="71">
        <v>46155</v>
      </c>
      <c r="B279" s="70" t="s">
        <v>1</v>
      </c>
      <c r="C279" s="70" t="s">
        <v>16</v>
      </c>
      <c r="D279" s="70">
        <v>4</v>
      </c>
      <c r="E279" s="70">
        <v>259</v>
      </c>
      <c r="F279" s="70">
        <v>15</v>
      </c>
      <c r="G279" s="70"/>
      <c r="H279" s="70"/>
      <c r="I279" s="70"/>
      <c r="J279" s="70"/>
      <c r="K279" s="70"/>
      <c r="L279" s="70"/>
      <c r="M279" s="70">
        <f>30+15+29+49+20</f>
        <v>143</v>
      </c>
      <c r="N279" s="70">
        <f>15+5</f>
        <v>20</v>
      </c>
      <c r="O279" s="70"/>
      <c r="P279" s="70">
        <f>50+10+35+43</f>
        <v>138</v>
      </c>
      <c r="Q279" s="70"/>
      <c r="R279" s="70">
        <f>25+43</f>
        <v>68</v>
      </c>
      <c r="S279" s="70"/>
      <c r="T279" s="70">
        <f>5</f>
        <v>5</v>
      </c>
      <c r="U279" s="70"/>
      <c r="V279" s="70">
        <f>30+20+40+15+30+10+10+45</f>
        <v>200</v>
      </c>
      <c r="W279" s="70"/>
      <c r="X279" s="70"/>
      <c r="Y279" s="70"/>
      <c r="Z279" s="70"/>
      <c r="AA279" s="70">
        <v>15</v>
      </c>
      <c r="AB279" s="70">
        <f>SUM(E279:AA279)</f>
        <v>863</v>
      </c>
      <c r="AC279" s="70">
        <f>AD279-AB279</f>
        <v>1744</v>
      </c>
      <c r="AD279" s="70">
        <f>863+1744</f>
        <v>2607</v>
      </c>
      <c r="AE279" s="69">
        <f>(AB279/AD279)</f>
        <v>0.33103183736095126</v>
      </c>
      <c r="AF279" s="68" t="s">
        <v>71</v>
      </c>
    </row>
    <row r="280" spans="1:32" s="67" customFormat="1" ht="30" customHeight="1" x14ac:dyDescent="0.25">
      <c r="A280" s="71">
        <v>46155</v>
      </c>
      <c r="B280" s="70" t="s">
        <v>1</v>
      </c>
      <c r="C280" s="70" t="s">
        <v>16</v>
      </c>
      <c r="D280" s="70">
        <v>5</v>
      </c>
      <c r="E280" s="70">
        <v>220</v>
      </c>
      <c r="F280" s="70">
        <v>203</v>
      </c>
      <c r="G280" s="70">
        <v>12</v>
      </c>
      <c r="H280" s="70">
        <v>35</v>
      </c>
      <c r="I280" s="70">
        <v>10</v>
      </c>
      <c r="J280" s="70"/>
      <c r="K280" s="70"/>
      <c r="L280" s="70"/>
      <c r="M280" s="70">
        <v>263</v>
      </c>
      <c r="N280" s="70"/>
      <c r="O280" s="70"/>
      <c r="P280" s="70">
        <v>352</v>
      </c>
      <c r="Q280" s="70"/>
      <c r="R280" s="70">
        <v>77</v>
      </c>
      <c r="S280" s="70"/>
      <c r="T280" s="70"/>
      <c r="U280" s="70"/>
      <c r="V280" s="70">
        <v>178</v>
      </c>
      <c r="W280" s="70"/>
      <c r="X280" s="70"/>
      <c r="Y280" s="70"/>
      <c r="Z280" s="70"/>
      <c r="AA280" s="70"/>
      <c r="AB280" s="70">
        <f>SUM(E280:AA280)</f>
        <v>1350</v>
      </c>
      <c r="AC280" s="70">
        <f>AD280-AB280</f>
        <v>1720</v>
      </c>
      <c r="AD280" s="70">
        <f>1350+1720</f>
        <v>3070</v>
      </c>
      <c r="AE280" s="69">
        <f>(AB280/AD280)</f>
        <v>0.43973941368078173</v>
      </c>
      <c r="AF280" s="68" t="s">
        <v>71</v>
      </c>
    </row>
    <row r="281" spans="1:32" s="67" customFormat="1" ht="30" customHeight="1" x14ac:dyDescent="0.25">
      <c r="A281" s="71">
        <v>46155</v>
      </c>
      <c r="B281" s="70" t="s">
        <v>1</v>
      </c>
      <c r="C281" s="70" t="s">
        <v>15</v>
      </c>
      <c r="D281" s="70">
        <v>6</v>
      </c>
      <c r="E281" s="70">
        <f>38+10+33+10+7+15+10+40</f>
        <v>163</v>
      </c>
      <c r="F281" s="70">
        <f>25+5+22</f>
        <v>52</v>
      </c>
      <c r="G281" s="70">
        <f>5+10+5</f>
        <v>20</v>
      </c>
      <c r="H281" s="70">
        <f>63+50+33+10</f>
        <v>156</v>
      </c>
      <c r="I281" s="70"/>
      <c r="J281" s="70">
        <v>10</v>
      </c>
      <c r="K281" s="70">
        <v>10</v>
      </c>
      <c r="L281" s="70"/>
      <c r="M281" s="70">
        <f>25+32+15+20</f>
        <v>92</v>
      </c>
      <c r="N281" s="70">
        <f>8</f>
        <v>8</v>
      </c>
      <c r="O281" s="70"/>
      <c r="P281" s="70">
        <f>22+28+5+18+18+10</f>
        <v>101</v>
      </c>
      <c r="Q281" s="70"/>
      <c r="R281" s="70">
        <f>28</f>
        <v>28</v>
      </c>
      <c r="S281" s="70">
        <f>5</f>
        <v>5</v>
      </c>
      <c r="T281" s="70">
        <f>15+43+8</f>
        <v>66</v>
      </c>
      <c r="U281" s="70"/>
      <c r="V281" s="70">
        <f>25+104+5+5+5+5</f>
        <v>149</v>
      </c>
      <c r="W281" s="70"/>
      <c r="X281" s="70"/>
      <c r="Y281" s="70"/>
      <c r="Z281" s="70"/>
      <c r="AA281" s="70"/>
      <c r="AB281" s="70">
        <f>SUM(E281:AA281)</f>
        <v>860</v>
      </c>
      <c r="AC281" s="70">
        <f>AD281-AB281</f>
        <v>1296</v>
      </c>
      <c r="AD281" s="70">
        <f>860+1296</f>
        <v>2156</v>
      </c>
      <c r="AE281" s="69">
        <f>(AB281/AD281)</f>
        <v>0.39888682745825604</v>
      </c>
      <c r="AF281" s="68" t="s">
        <v>71</v>
      </c>
    </row>
    <row r="282" spans="1:32" s="67" customFormat="1" ht="30" customHeight="1" x14ac:dyDescent="0.25">
      <c r="A282" s="71">
        <v>46155</v>
      </c>
      <c r="B282" s="70" t="s">
        <v>1</v>
      </c>
      <c r="C282" s="70" t="s">
        <v>14</v>
      </c>
      <c r="D282" s="70">
        <v>7</v>
      </c>
      <c r="E282" s="70">
        <f>55+55+35+10+15+30</f>
        <v>200</v>
      </c>
      <c r="F282" s="70">
        <f>10</f>
        <v>10</v>
      </c>
      <c r="G282" s="70">
        <v>10</v>
      </c>
      <c r="H282" s="70">
        <v>70</v>
      </c>
      <c r="I282" s="70"/>
      <c r="J282" s="70"/>
      <c r="K282" s="70"/>
      <c r="L282" s="70"/>
      <c r="M282" s="70">
        <f>5+20+10+10</f>
        <v>45</v>
      </c>
      <c r="N282" s="70">
        <f>13</f>
        <v>13</v>
      </c>
      <c r="O282" s="70"/>
      <c r="P282" s="70">
        <v>20</v>
      </c>
      <c r="Q282" s="70">
        <f>5</f>
        <v>5</v>
      </c>
      <c r="R282" s="70"/>
      <c r="S282" s="70">
        <v>10</v>
      </c>
      <c r="T282" s="70"/>
      <c r="U282" s="70"/>
      <c r="V282" s="70">
        <f>10+10</f>
        <v>20</v>
      </c>
      <c r="W282" s="70"/>
      <c r="X282" s="70"/>
      <c r="Y282" s="70"/>
      <c r="Z282" s="70"/>
      <c r="AA282" s="70"/>
      <c r="AB282" s="70">
        <f>SUM(E282:AA282)</f>
        <v>403</v>
      </c>
      <c r="AC282" s="70">
        <f>AD282-AB282</f>
        <v>910</v>
      </c>
      <c r="AD282" s="70">
        <f>403+910</f>
        <v>1313</v>
      </c>
      <c r="AE282" s="69">
        <f>(AB282/AD282)</f>
        <v>0.30693069306930693</v>
      </c>
      <c r="AF282" s="68" t="s">
        <v>71</v>
      </c>
    </row>
    <row r="283" spans="1:32" s="67" customFormat="1" ht="30" customHeight="1" x14ac:dyDescent="0.25">
      <c r="A283" s="71">
        <v>46155</v>
      </c>
      <c r="B283" s="70" t="s">
        <v>78</v>
      </c>
      <c r="C283" s="70" t="s">
        <v>77</v>
      </c>
      <c r="D283" s="70">
        <v>8</v>
      </c>
      <c r="E283" s="70">
        <f>23+10+20+20+15+10+7</f>
        <v>105</v>
      </c>
      <c r="F283" s="70">
        <f>5+5+25+5+20+5+5</f>
        <v>70</v>
      </c>
      <c r="G283" s="70">
        <f>3+10+5+5</f>
        <v>23</v>
      </c>
      <c r="H283" s="70">
        <f>32+5</f>
        <v>37</v>
      </c>
      <c r="I283" s="70"/>
      <c r="J283" s="70"/>
      <c r="K283" s="70">
        <v>20</v>
      </c>
      <c r="L283" s="70"/>
      <c r="M283" s="70">
        <f>10+10+10+17</f>
        <v>47</v>
      </c>
      <c r="N283" s="70">
        <f>5</f>
        <v>5</v>
      </c>
      <c r="O283" s="70">
        <f>5</f>
        <v>5</v>
      </c>
      <c r="P283" s="70">
        <f>64+30+10+10+13</f>
        <v>127</v>
      </c>
      <c r="Q283" s="70">
        <f>10</f>
        <v>10</v>
      </c>
      <c r="R283" s="70"/>
      <c r="S283" s="70"/>
      <c r="T283" s="70">
        <f>10+55+8+8</f>
        <v>81</v>
      </c>
      <c r="U283" s="70"/>
      <c r="V283" s="70">
        <f>20+50+22+10+12+3+10</f>
        <v>127</v>
      </c>
      <c r="W283" s="70"/>
      <c r="X283" s="70"/>
      <c r="Y283" s="70">
        <v>13</v>
      </c>
      <c r="Z283" s="70"/>
      <c r="AA283" s="70"/>
      <c r="AB283" s="70">
        <f>SUM(E283:AA283)</f>
        <v>670</v>
      </c>
      <c r="AC283" s="70">
        <f>AD283-AB283</f>
        <v>1008</v>
      </c>
      <c r="AD283" s="70">
        <f>670+1008</f>
        <v>1678</v>
      </c>
      <c r="AE283" s="69">
        <f>(AB283/AD283)</f>
        <v>0.399284862932062</v>
      </c>
      <c r="AF283" s="68" t="s">
        <v>71</v>
      </c>
    </row>
    <row r="284" spans="1:32" s="67" customFormat="1" ht="30" customHeight="1" x14ac:dyDescent="0.25">
      <c r="A284" s="71">
        <v>46155</v>
      </c>
      <c r="B284" s="70" t="s">
        <v>1</v>
      </c>
      <c r="C284" s="70" t="s">
        <v>12</v>
      </c>
      <c r="D284" s="70">
        <v>9</v>
      </c>
      <c r="E284" s="70">
        <v>129</v>
      </c>
      <c r="F284" s="70">
        <v>51</v>
      </c>
      <c r="G284" s="70">
        <v>13</v>
      </c>
      <c r="H284" s="70">
        <v>61</v>
      </c>
      <c r="I284" s="70">
        <v>49</v>
      </c>
      <c r="J284" s="70">
        <v>20</v>
      </c>
      <c r="K284" s="70"/>
      <c r="L284" s="70"/>
      <c r="M284" s="70">
        <v>113</v>
      </c>
      <c r="N284" s="70">
        <v>5</v>
      </c>
      <c r="O284" s="70">
        <v>5</v>
      </c>
      <c r="P284" s="70">
        <v>27</v>
      </c>
      <c r="Q284" s="70"/>
      <c r="R284" s="70"/>
      <c r="S284" s="70">
        <v>28</v>
      </c>
      <c r="T284" s="70">
        <v>20</v>
      </c>
      <c r="U284" s="70"/>
      <c r="V284" s="70">
        <f>64+21</f>
        <v>85</v>
      </c>
      <c r="W284" s="70">
        <v>2</v>
      </c>
      <c r="X284" s="70"/>
      <c r="Y284" s="70">
        <v>15</v>
      </c>
      <c r="Z284" s="70"/>
      <c r="AA284" s="70"/>
      <c r="AB284" s="70">
        <f>SUM(E284:AA284)</f>
        <v>623</v>
      </c>
      <c r="AC284" s="70">
        <f>AD284-AB284</f>
        <v>1484</v>
      </c>
      <c r="AD284" s="70">
        <f>623+1484</f>
        <v>2107</v>
      </c>
      <c r="AE284" s="69">
        <f>(AB284/AD284)</f>
        <v>0.29568106312292358</v>
      </c>
      <c r="AF284" s="68" t="s">
        <v>71</v>
      </c>
    </row>
    <row r="285" spans="1:32" s="67" customFormat="1" ht="30" customHeight="1" x14ac:dyDescent="0.25">
      <c r="A285" s="71">
        <v>46155</v>
      </c>
      <c r="B285" s="70" t="s">
        <v>1</v>
      </c>
      <c r="C285" s="70" t="s">
        <v>0</v>
      </c>
      <c r="D285" s="70">
        <v>10</v>
      </c>
      <c r="E285" s="70">
        <v>59</v>
      </c>
      <c r="F285" s="70">
        <v>9</v>
      </c>
      <c r="G285" s="70">
        <v>50</v>
      </c>
      <c r="H285" s="70">
        <v>5</v>
      </c>
      <c r="I285" s="70"/>
      <c r="J285" s="70">
        <v>19</v>
      </c>
      <c r="K285" s="70"/>
      <c r="L285" s="70">
        <v>11</v>
      </c>
      <c r="M285" s="70"/>
      <c r="N285" s="70"/>
      <c r="O285" s="70"/>
      <c r="P285" s="70"/>
      <c r="Q285" s="70"/>
      <c r="R285" s="70"/>
      <c r="S285" s="70">
        <v>19</v>
      </c>
      <c r="T285" s="70"/>
      <c r="U285" s="70"/>
      <c r="V285" s="70">
        <f>4+50</f>
        <v>54</v>
      </c>
      <c r="W285" s="70"/>
      <c r="X285" s="70"/>
      <c r="Y285" s="70"/>
      <c r="Z285" s="70"/>
      <c r="AA285" s="70"/>
      <c r="AB285" s="70">
        <f>SUM(E285:AA285)</f>
        <v>226</v>
      </c>
      <c r="AC285" s="70">
        <f>AD285-AB285</f>
        <v>480</v>
      </c>
      <c r="AD285" s="70">
        <f>226+480</f>
        <v>706</v>
      </c>
      <c r="AE285" s="69">
        <f>(AB285/AD285)</f>
        <v>0.32011331444759206</v>
      </c>
      <c r="AF285" s="68" t="s">
        <v>71</v>
      </c>
    </row>
    <row r="286" spans="1:32" s="67" customFormat="1" ht="30" customHeight="1" x14ac:dyDescent="0.25">
      <c r="A286" s="71">
        <v>46155</v>
      </c>
      <c r="B286" s="70" t="s">
        <v>1</v>
      </c>
      <c r="C286" s="70" t="s">
        <v>10</v>
      </c>
      <c r="D286" s="70">
        <v>11</v>
      </c>
      <c r="E286" s="70">
        <v>100</v>
      </c>
      <c r="F286" s="70">
        <v>56</v>
      </c>
      <c r="G286" s="70"/>
      <c r="H286" s="70">
        <v>10</v>
      </c>
      <c r="I286" s="70"/>
      <c r="J286" s="70">
        <v>10</v>
      </c>
      <c r="K286" s="70"/>
      <c r="L286" s="70"/>
      <c r="M286" s="70">
        <v>31</v>
      </c>
      <c r="N286" s="70">
        <v>19</v>
      </c>
      <c r="O286" s="70"/>
      <c r="P286" s="70">
        <v>25</v>
      </c>
      <c r="Q286" s="70"/>
      <c r="R286" s="70">
        <v>10</v>
      </c>
      <c r="S286" s="70"/>
      <c r="T286" s="70"/>
      <c r="U286" s="70"/>
      <c r="V286" s="70">
        <f>7+31</f>
        <v>38</v>
      </c>
      <c r="W286" s="70"/>
      <c r="X286" s="70"/>
      <c r="Y286" s="70"/>
      <c r="Z286" s="70"/>
      <c r="AA286" s="70">
        <v>21</v>
      </c>
      <c r="AB286" s="70">
        <f>SUM(E286:AA286)</f>
        <v>320</v>
      </c>
      <c r="AC286" s="70">
        <f>AD286-AB286</f>
        <v>880</v>
      </c>
      <c r="AD286" s="70">
        <f>320+880</f>
        <v>1200</v>
      </c>
      <c r="AE286" s="69">
        <f>(AB286/AD286)</f>
        <v>0.26666666666666666</v>
      </c>
      <c r="AF286" s="68" t="s">
        <v>71</v>
      </c>
    </row>
    <row r="287" spans="1:32" s="67" customFormat="1" ht="30" customHeight="1" x14ac:dyDescent="0.25">
      <c r="A287" s="71">
        <v>46155</v>
      </c>
      <c r="B287" s="70" t="s">
        <v>1</v>
      </c>
      <c r="C287" s="70" t="s">
        <v>11</v>
      </c>
      <c r="D287" s="70">
        <v>13</v>
      </c>
      <c r="E287" s="70">
        <v>6</v>
      </c>
      <c r="F287" s="70"/>
      <c r="G287" s="70"/>
      <c r="H287" s="70"/>
      <c r="I287" s="70">
        <v>5</v>
      </c>
      <c r="J287" s="70">
        <v>7</v>
      </c>
      <c r="K287" s="70">
        <v>6</v>
      </c>
      <c r="L287" s="70"/>
      <c r="M287" s="70">
        <v>8</v>
      </c>
      <c r="N287" s="70"/>
      <c r="O287" s="70"/>
      <c r="P287" s="70"/>
      <c r="Q287" s="70"/>
      <c r="R287" s="70"/>
      <c r="S287" s="70"/>
      <c r="T287" s="70">
        <v>5</v>
      </c>
      <c r="U287" s="70"/>
      <c r="V287" s="70">
        <f>7+3</f>
        <v>10</v>
      </c>
      <c r="W287" s="70"/>
      <c r="X287" s="70"/>
      <c r="Y287" s="70"/>
      <c r="Z287" s="70"/>
      <c r="AA287" s="70"/>
      <c r="AB287" s="70">
        <f>SUM(E287:AA287)</f>
        <v>47</v>
      </c>
      <c r="AC287" s="70">
        <f>AD287-AB287</f>
        <v>70</v>
      </c>
      <c r="AD287" s="70">
        <f>47+70</f>
        <v>117</v>
      </c>
      <c r="AE287" s="69">
        <f>(AB287/AD287)</f>
        <v>0.40170940170940173</v>
      </c>
      <c r="AF287" s="68" t="s">
        <v>71</v>
      </c>
    </row>
    <row r="288" spans="1:32" s="67" customFormat="1" ht="30" customHeight="1" x14ac:dyDescent="0.25">
      <c r="A288" s="71">
        <v>46155</v>
      </c>
      <c r="B288" s="70" t="s">
        <v>1</v>
      </c>
      <c r="C288" s="70" t="s">
        <v>8</v>
      </c>
      <c r="D288" s="70">
        <v>14</v>
      </c>
      <c r="E288" s="70">
        <v>16</v>
      </c>
      <c r="F288" s="70">
        <v>23</v>
      </c>
      <c r="G288" s="70"/>
      <c r="H288" s="70"/>
      <c r="I288" s="70"/>
      <c r="J288" s="70"/>
      <c r="K288" s="70">
        <v>12</v>
      </c>
      <c r="L288" s="70">
        <v>25</v>
      </c>
      <c r="M288" s="70">
        <v>93</v>
      </c>
      <c r="N288" s="70"/>
      <c r="O288" s="70">
        <v>22</v>
      </c>
      <c r="P288" s="70">
        <v>12</v>
      </c>
      <c r="Q288" s="70"/>
      <c r="R288" s="70"/>
      <c r="S288" s="70"/>
      <c r="T288" s="70">
        <v>8</v>
      </c>
      <c r="U288" s="70"/>
      <c r="V288" s="70">
        <f>5+7+5</f>
        <v>17</v>
      </c>
      <c r="W288" s="70"/>
      <c r="X288" s="70"/>
      <c r="Y288" s="70"/>
      <c r="Z288" s="70"/>
      <c r="AA288" s="70">
        <f>10+20</f>
        <v>30</v>
      </c>
      <c r="AB288" s="70">
        <f>SUM(E288:AA288)</f>
        <v>258</v>
      </c>
      <c r="AC288" s="70">
        <f>AD288-AB288</f>
        <v>720</v>
      </c>
      <c r="AD288" s="70">
        <f>258+720</f>
        <v>978</v>
      </c>
      <c r="AE288" s="69">
        <f>(AB288/AD288)</f>
        <v>0.26380368098159507</v>
      </c>
      <c r="AF288" s="68" t="s">
        <v>71</v>
      </c>
    </row>
    <row r="289" spans="1:32" s="67" customFormat="1" ht="30" customHeight="1" x14ac:dyDescent="0.25">
      <c r="A289" s="71">
        <v>46155</v>
      </c>
      <c r="B289" s="70" t="s">
        <v>73</v>
      </c>
      <c r="C289" s="70" t="s">
        <v>7</v>
      </c>
      <c r="D289" s="70">
        <v>15</v>
      </c>
      <c r="E289" s="70"/>
      <c r="F289" s="70">
        <v>47</v>
      </c>
      <c r="G289" s="70"/>
      <c r="H289" s="70"/>
      <c r="I289" s="70"/>
      <c r="J289" s="70"/>
      <c r="K289" s="70">
        <v>6</v>
      </c>
      <c r="L289" s="70">
        <v>14</v>
      </c>
      <c r="M289" s="70">
        <v>57</v>
      </c>
      <c r="N289" s="70"/>
      <c r="O289" s="70"/>
      <c r="P289" s="70"/>
      <c r="Q289" s="70"/>
      <c r="R289" s="70"/>
      <c r="S289" s="70"/>
      <c r="T289" s="70">
        <v>4</v>
      </c>
      <c r="U289" s="70"/>
      <c r="V289" s="70">
        <f>4+26</f>
        <v>30</v>
      </c>
      <c r="W289" s="70"/>
      <c r="X289" s="70"/>
      <c r="Y289" s="70"/>
      <c r="Z289" s="70"/>
      <c r="AA289" s="70"/>
      <c r="AB289" s="70">
        <f>SUM(E289:AA289)</f>
        <v>158</v>
      </c>
      <c r="AC289" s="70">
        <f>AD289-AB289</f>
        <v>252</v>
      </c>
      <c r="AD289" s="70">
        <f>158+252</f>
        <v>410</v>
      </c>
      <c r="AE289" s="69">
        <f>(AB289/AD289)</f>
        <v>0.38536585365853659</v>
      </c>
      <c r="AF289" s="68" t="s">
        <v>71</v>
      </c>
    </row>
    <row r="290" spans="1:32" s="67" customFormat="1" ht="30" customHeight="1" x14ac:dyDescent="0.25">
      <c r="A290" s="71">
        <v>46155</v>
      </c>
      <c r="B290" s="70" t="s">
        <v>1</v>
      </c>
      <c r="C290" s="70" t="s">
        <v>10</v>
      </c>
      <c r="D290" s="70">
        <v>16</v>
      </c>
      <c r="E290" s="70">
        <v>78</v>
      </c>
      <c r="F290" s="70">
        <v>35</v>
      </c>
      <c r="G290" s="70">
        <v>15</v>
      </c>
      <c r="H290" s="70">
        <v>5</v>
      </c>
      <c r="I290" s="70"/>
      <c r="J290" s="70"/>
      <c r="K290" s="70">
        <v>8</v>
      </c>
      <c r="L290" s="70"/>
      <c r="M290" s="70">
        <v>113</v>
      </c>
      <c r="N290" s="70"/>
      <c r="O290" s="70">
        <v>6</v>
      </c>
      <c r="P290" s="70">
        <v>72</v>
      </c>
      <c r="Q290" s="70"/>
      <c r="R290" s="70"/>
      <c r="S290" s="70"/>
      <c r="T290" s="70">
        <v>38</v>
      </c>
      <c r="U290" s="70"/>
      <c r="V290" s="70">
        <f>31+7</f>
        <v>38</v>
      </c>
      <c r="W290" s="70"/>
      <c r="X290" s="70"/>
      <c r="Y290" s="70">
        <f>4</f>
        <v>4</v>
      </c>
      <c r="Z290" s="70"/>
      <c r="AA290" s="70">
        <f>5+21</f>
        <v>26</v>
      </c>
      <c r="AB290" s="70">
        <f>SUM(E290:AA290)</f>
        <v>438</v>
      </c>
      <c r="AC290" s="70">
        <f>AD290-AB290</f>
        <v>880</v>
      </c>
      <c r="AD290" s="70">
        <f>438+880</f>
        <v>1318</v>
      </c>
      <c r="AE290" s="69">
        <f>(AB290/AD290)</f>
        <v>0.33232169954476481</v>
      </c>
      <c r="AF290" s="68" t="s">
        <v>71</v>
      </c>
    </row>
    <row r="291" spans="1:32" s="67" customFormat="1" ht="30" customHeight="1" x14ac:dyDescent="0.25">
      <c r="A291" s="71">
        <v>46155</v>
      </c>
      <c r="B291" s="70" t="s">
        <v>73</v>
      </c>
      <c r="C291" s="70" t="s">
        <v>12</v>
      </c>
      <c r="D291" s="70">
        <v>17</v>
      </c>
      <c r="E291" s="70">
        <v>137</v>
      </c>
      <c r="F291" s="70"/>
      <c r="G291" s="70">
        <v>8</v>
      </c>
      <c r="H291" s="70">
        <v>10</v>
      </c>
      <c r="I291" s="70"/>
      <c r="J291" s="70">
        <v>21</v>
      </c>
      <c r="K291" s="70"/>
      <c r="L291" s="70"/>
      <c r="M291" s="70">
        <v>57</v>
      </c>
      <c r="N291" s="70"/>
      <c r="O291" s="70"/>
      <c r="P291" s="70"/>
      <c r="Q291" s="70"/>
      <c r="R291" s="70"/>
      <c r="S291" s="70"/>
      <c r="T291" s="70"/>
      <c r="U291" s="70"/>
      <c r="V291" s="70">
        <v>67</v>
      </c>
      <c r="W291" s="70"/>
      <c r="X291" s="70"/>
      <c r="Y291" s="70"/>
      <c r="Z291" s="70"/>
      <c r="AA291" s="70"/>
      <c r="AB291" s="70">
        <f>SUM(E291:AA291)</f>
        <v>300</v>
      </c>
      <c r="AC291" s="70">
        <f>AD291-AB291</f>
        <v>1491</v>
      </c>
      <c r="AD291" s="70">
        <f>300+1491</f>
        <v>1791</v>
      </c>
      <c r="AE291" s="69">
        <f>(AB291/AD291)</f>
        <v>0.16750418760469013</v>
      </c>
      <c r="AF291" s="68" t="s">
        <v>71</v>
      </c>
    </row>
    <row r="292" spans="1:32" s="67" customFormat="1" ht="30" customHeight="1" x14ac:dyDescent="0.25">
      <c r="A292" s="71">
        <v>46155</v>
      </c>
      <c r="B292" s="70" t="s">
        <v>1</v>
      </c>
      <c r="C292" s="70" t="s">
        <v>6</v>
      </c>
      <c r="D292" s="70">
        <v>18</v>
      </c>
      <c r="E292" s="70">
        <v>68</v>
      </c>
      <c r="F292" s="70">
        <v>39</v>
      </c>
      <c r="G292" s="70"/>
      <c r="H292" s="70">
        <v>3</v>
      </c>
      <c r="I292" s="70"/>
      <c r="J292" s="70"/>
      <c r="K292" s="70">
        <v>18</v>
      </c>
      <c r="L292" s="70"/>
      <c r="M292" s="70">
        <v>90</v>
      </c>
      <c r="N292" s="70"/>
      <c r="O292" s="70">
        <v>11</v>
      </c>
      <c r="P292" s="70">
        <v>17</v>
      </c>
      <c r="Q292" s="70"/>
      <c r="R292" s="70"/>
      <c r="S292" s="70">
        <v>12</v>
      </c>
      <c r="T292" s="70">
        <v>63</v>
      </c>
      <c r="U292" s="70"/>
      <c r="V292" s="70">
        <f>12+11</f>
        <v>23</v>
      </c>
      <c r="W292" s="70"/>
      <c r="X292" s="70"/>
      <c r="Y292" s="70"/>
      <c r="Z292" s="70"/>
      <c r="AA292" s="70"/>
      <c r="AB292" s="70">
        <f>SUM(E292:AA292)</f>
        <v>344</v>
      </c>
      <c r="AC292" s="70">
        <f>AD292-AB292</f>
        <v>1008</v>
      </c>
      <c r="AD292" s="70">
        <f>344+1008</f>
        <v>1352</v>
      </c>
      <c r="AE292" s="69">
        <f>(AB292/AD292)</f>
        <v>0.25443786982248523</v>
      </c>
      <c r="AF292" s="68" t="s">
        <v>71</v>
      </c>
    </row>
    <row r="293" spans="1:32" s="67" customFormat="1" ht="30" customHeight="1" x14ac:dyDescent="0.25">
      <c r="A293" s="71">
        <v>46155</v>
      </c>
      <c r="B293" s="70" t="s">
        <v>1</v>
      </c>
      <c r="C293" s="70" t="s">
        <v>2</v>
      </c>
      <c r="D293" s="70">
        <v>19</v>
      </c>
      <c r="E293" s="70">
        <v>89</v>
      </c>
      <c r="F293" s="70">
        <v>34</v>
      </c>
      <c r="G293" s="70">
        <v>30</v>
      </c>
      <c r="H293" s="70">
        <v>24</v>
      </c>
      <c r="I293" s="70"/>
      <c r="J293" s="70"/>
      <c r="K293" s="70"/>
      <c r="L293" s="70"/>
      <c r="M293" s="70">
        <v>8</v>
      </c>
      <c r="N293" s="70"/>
      <c r="O293" s="70"/>
      <c r="P293" s="70">
        <v>3</v>
      </c>
      <c r="Q293" s="70"/>
      <c r="R293" s="70"/>
      <c r="S293" s="70"/>
      <c r="T293" s="70">
        <v>6</v>
      </c>
      <c r="U293" s="70"/>
      <c r="V293" s="70">
        <v>21</v>
      </c>
      <c r="W293" s="70"/>
      <c r="X293" s="70"/>
      <c r="Y293" s="70"/>
      <c r="Z293" s="70"/>
      <c r="AA293" s="70"/>
      <c r="AB293" s="70">
        <f>SUM(E293:AA293)</f>
        <v>215</v>
      </c>
      <c r="AC293" s="70">
        <f>AD293-AB293</f>
        <v>875</v>
      </c>
      <c r="AD293" s="70">
        <f>215+875</f>
        <v>1090</v>
      </c>
      <c r="AE293" s="69">
        <f>(AB293/AD293)</f>
        <v>0.19724770642201836</v>
      </c>
      <c r="AF293" s="68" t="s">
        <v>71</v>
      </c>
    </row>
    <row r="294" spans="1:32" s="67" customFormat="1" ht="30" customHeight="1" x14ac:dyDescent="0.25">
      <c r="A294" s="71">
        <v>46155</v>
      </c>
      <c r="B294" s="70" t="s">
        <v>1</v>
      </c>
      <c r="C294" s="70" t="s">
        <v>9</v>
      </c>
      <c r="D294" s="70">
        <v>20</v>
      </c>
      <c r="E294" s="70">
        <f>10+16+5+20</f>
        <v>51</v>
      </c>
      <c r="F294" s="70">
        <f>5</f>
        <v>5</v>
      </c>
      <c r="G294" s="70"/>
      <c r="H294" s="70">
        <f>5+5</f>
        <v>10</v>
      </c>
      <c r="I294" s="70"/>
      <c r="J294" s="70"/>
      <c r="K294" s="70">
        <f>5+19</f>
        <v>24</v>
      </c>
      <c r="L294" s="70"/>
      <c r="M294" s="70">
        <f>20+5+15+10</f>
        <v>50</v>
      </c>
      <c r="N294" s="70"/>
      <c r="O294" s="70"/>
      <c r="P294" s="70">
        <f>20</f>
        <v>20</v>
      </c>
      <c r="Q294" s="70"/>
      <c r="R294" s="70"/>
      <c r="S294" s="70"/>
      <c r="T294" s="70">
        <f>20+5+5+20</f>
        <v>50</v>
      </c>
      <c r="U294" s="70"/>
      <c r="V294" s="70">
        <f>10+5+5</f>
        <v>20</v>
      </c>
      <c r="W294" s="70"/>
      <c r="X294" s="70"/>
      <c r="Y294" s="70"/>
      <c r="Z294" s="70"/>
      <c r="AA294" s="70"/>
      <c r="AB294" s="70">
        <f>SUM(E294:AA294)</f>
        <v>230</v>
      </c>
      <c r="AC294" s="70">
        <f>AD294-AB294</f>
        <v>656</v>
      </c>
      <c r="AD294" s="70">
        <f>230+656</f>
        <v>886</v>
      </c>
      <c r="AE294" s="69">
        <f>(AB294/AD294)</f>
        <v>0.2595936794582393</v>
      </c>
      <c r="AF294" s="68" t="s">
        <v>71</v>
      </c>
    </row>
    <row r="295" spans="1:32" s="67" customFormat="1" ht="26.25" customHeight="1" x14ac:dyDescent="0.25">
      <c r="A295" s="71">
        <v>46155</v>
      </c>
      <c r="B295" s="70" t="s">
        <v>1</v>
      </c>
      <c r="C295" s="70" t="s">
        <v>75</v>
      </c>
      <c r="D295" s="70">
        <v>21</v>
      </c>
      <c r="E295" s="70">
        <v>174</v>
      </c>
      <c r="F295" s="70">
        <v>5</v>
      </c>
      <c r="G295" s="70">
        <v>4</v>
      </c>
      <c r="H295" s="70">
        <v>22</v>
      </c>
      <c r="I295" s="70">
        <v>14</v>
      </c>
      <c r="J295" s="70"/>
      <c r="K295" s="70"/>
      <c r="L295" s="70"/>
      <c r="M295" s="70">
        <v>41</v>
      </c>
      <c r="N295" s="70">
        <v>10</v>
      </c>
      <c r="O295" s="70"/>
      <c r="P295" s="70">
        <v>47</v>
      </c>
      <c r="Q295" s="70">
        <v>18</v>
      </c>
      <c r="R295" s="70"/>
      <c r="S295" s="70"/>
      <c r="T295" s="70"/>
      <c r="U295" s="70"/>
      <c r="V295" s="70">
        <v>132</v>
      </c>
      <c r="W295" s="70"/>
      <c r="X295" s="70"/>
      <c r="Y295" s="70"/>
      <c r="Z295" s="70"/>
      <c r="AA295" s="70"/>
      <c r="AB295" s="70">
        <f>SUM(E295:AA295)</f>
        <v>467</v>
      </c>
      <c r="AC295" s="70">
        <f>AD295-AB295</f>
        <v>840</v>
      </c>
      <c r="AD295" s="70">
        <f>467+840</f>
        <v>1307</v>
      </c>
      <c r="AE295" s="69">
        <f>(AB295/AD295)</f>
        <v>0.35730680948737564</v>
      </c>
      <c r="AF295" s="68" t="s">
        <v>71</v>
      </c>
    </row>
    <row r="296" spans="1:32" s="67" customFormat="1" ht="30" customHeight="1" x14ac:dyDescent="0.25">
      <c r="A296" s="71">
        <v>46155</v>
      </c>
      <c r="B296" s="70" t="s">
        <v>1</v>
      </c>
      <c r="C296" s="70" t="s">
        <v>8</v>
      </c>
      <c r="D296" s="70">
        <v>22</v>
      </c>
      <c r="E296" s="70">
        <v>55</v>
      </c>
      <c r="F296" s="70">
        <v>14</v>
      </c>
      <c r="G296" s="70">
        <v>7</v>
      </c>
      <c r="H296" s="70">
        <v>25</v>
      </c>
      <c r="I296" s="70"/>
      <c r="J296" s="70">
        <v>30</v>
      </c>
      <c r="K296" s="70"/>
      <c r="L296" s="70">
        <v>20</v>
      </c>
      <c r="M296" s="70">
        <v>161</v>
      </c>
      <c r="N296" s="70"/>
      <c r="O296" s="70">
        <v>34</v>
      </c>
      <c r="P296" s="70">
        <v>21</v>
      </c>
      <c r="Q296" s="70"/>
      <c r="R296" s="70"/>
      <c r="S296" s="70"/>
      <c r="T296" s="70">
        <v>15</v>
      </c>
      <c r="U296" s="70"/>
      <c r="V296" s="70">
        <v>11</v>
      </c>
      <c r="W296" s="70"/>
      <c r="X296" s="70"/>
      <c r="Y296" s="70"/>
      <c r="Z296" s="70"/>
      <c r="AA296" s="70"/>
      <c r="AB296" s="70">
        <f>SUM(E296:AA296)</f>
        <v>393</v>
      </c>
      <c r="AC296" s="70">
        <f>AD296-AB296</f>
        <v>736</v>
      </c>
      <c r="AD296" s="70">
        <f>393+736</f>
        <v>1129</v>
      </c>
      <c r="AE296" s="69">
        <f>(AB296/AD296)</f>
        <v>0.34809565987599644</v>
      </c>
      <c r="AF296" s="68" t="s">
        <v>71</v>
      </c>
    </row>
    <row r="297" spans="1:32" s="67" customFormat="1" ht="30" customHeight="1" x14ac:dyDescent="0.25">
      <c r="A297" s="71">
        <v>46155</v>
      </c>
      <c r="B297" s="70" t="s">
        <v>73</v>
      </c>
      <c r="C297" s="70" t="s">
        <v>7</v>
      </c>
      <c r="D297" s="70">
        <v>23</v>
      </c>
      <c r="E297" s="70"/>
      <c r="F297" s="70">
        <v>30</v>
      </c>
      <c r="G297" s="70">
        <v>14</v>
      </c>
      <c r="H297" s="70"/>
      <c r="I297" s="70"/>
      <c r="J297" s="70">
        <v>4</v>
      </c>
      <c r="K297" s="70"/>
      <c r="L297" s="70"/>
      <c r="M297" s="70">
        <v>21</v>
      </c>
      <c r="N297" s="70"/>
      <c r="O297" s="70"/>
      <c r="P297" s="70"/>
      <c r="Q297" s="70"/>
      <c r="R297" s="70"/>
      <c r="S297" s="70"/>
      <c r="T297" s="70"/>
      <c r="U297" s="70"/>
      <c r="V297" s="70">
        <f>5+46</f>
        <v>51</v>
      </c>
      <c r="W297" s="70"/>
      <c r="X297" s="70"/>
      <c r="Y297" s="70"/>
      <c r="Z297" s="70"/>
      <c r="AA297" s="70"/>
      <c r="AB297" s="70">
        <f>SUM(E297:AA297)</f>
        <v>120</v>
      </c>
      <c r="AC297" s="70">
        <f>AD297-AB297</f>
        <v>172</v>
      </c>
      <c r="AD297" s="70">
        <f>120+172</f>
        <v>292</v>
      </c>
      <c r="AE297" s="69">
        <f>(AB297/AD297)</f>
        <v>0.41095890410958902</v>
      </c>
      <c r="AF297" s="68" t="s">
        <v>71</v>
      </c>
    </row>
    <row r="298" spans="1:32" s="67" customFormat="1" ht="37.5" customHeight="1" x14ac:dyDescent="0.25">
      <c r="A298" s="71">
        <v>46155</v>
      </c>
      <c r="B298" s="70" t="s">
        <v>1</v>
      </c>
      <c r="C298" s="70" t="s">
        <v>6</v>
      </c>
      <c r="D298" s="70">
        <v>24</v>
      </c>
      <c r="E298" s="70">
        <v>49</v>
      </c>
      <c r="F298" s="70">
        <v>3</v>
      </c>
      <c r="G298" s="70">
        <v>10</v>
      </c>
      <c r="H298" s="70">
        <v>3</v>
      </c>
      <c r="I298" s="70">
        <v>15</v>
      </c>
      <c r="J298" s="70"/>
      <c r="K298" s="70">
        <v>12</v>
      </c>
      <c r="L298" s="70">
        <v>10</v>
      </c>
      <c r="M298" s="70">
        <v>36</v>
      </c>
      <c r="N298" s="70"/>
      <c r="O298" s="70"/>
      <c r="P298" s="70">
        <v>12</v>
      </c>
      <c r="Q298" s="70">
        <v>9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>
        <f>SUM(E298:AA298)</f>
        <v>159</v>
      </c>
      <c r="AC298" s="70">
        <f>AD298-AB298</f>
        <v>1032</v>
      </c>
      <c r="AD298" s="70">
        <f>159+1032</f>
        <v>1191</v>
      </c>
      <c r="AE298" s="69">
        <f>(AB298/AD298)</f>
        <v>0.13350125944584382</v>
      </c>
      <c r="AF298" s="68" t="s">
        <v>71</v>
      </c>
    </row>
    <row r="299" spans="1:32" s="67" customFormat="1" ht="37.5" customHeight="1" x14ac:dyDescent="0.25">
      <c r="A299" s="71">
        <v>46155</v>
      </c>
      <c r="B299" s="70" t="s">
        <v>5</v>
      </c>
      <c r="C299" s="70" t="s">
        <v>4</v>
      </c>
      <c r="D299" s="70">
        <v>25</v>
      </c>
      <c r="E299" s="70">
        <f>125+55+35+25+60+45</f>
        <v>345</v>
      </c>
      <c r="F299" s="70">
        <f>15</f>
        <v>15</v>
      </c>
      <c r="G299" s="70">
        <f>5</f>
        <v>5</v>
      </c>
      <c r="H299" s="70">
        <f>15+45+50+20+10</f>
        <v>140</v>
      </c>
      <c r="I299" s="70"/>
      <c r="J299" s="70"/>
      <c r="K299" s="70">
        <f>10</f>
        <v>10</v>
      </c>
      <c r="L299" s="70"/>
      <c r="M299" s="70">
        <f>30+95+5</f>
        <v>130</v>
      </c>
      <c r="N299" s="70"/>
      <c r="O299" s="70"/>
      <c r="P299" s="70">
        <f>5</f>
        <v>5</v>
      </c>
      <c r="Q299" s="70"/>
      <c r="R299" s="70"/>
      <c r="S299" s="70">
        <v>65</v>
      </c>
      <c r="T299" s="70"/>
      <c r="U299" s="70"/>
      <c r="V299" s="70">
        <f>25+40</f>
        <v>65</v>
      </c>
      <c r="W299" s="70"/>
      <c r="X299" s="70"/>
      <c r="Y299" s="70"/>
      <c r="Z299" s="70"/>
      <c r="AA299" s="70"/>
      <c r="AB299" s="70">
        <f>SUM(E299:AA299)</f>
        <v>780</v>
      </c>
      <c r="AC299" s="70">
        <f>AD299-AB299</f>
        <v>2016</v>
      </c>
      <c r="AD299" s="70">
        <f>780+2016</f>
        <v>2796</v>
      </c>
      <c r="AE299" s="69">
        <f>(AB299/AD299)</f>
        <v>0.27896995708154504</v>
      </c>
      <c r="AF299" s="68" t="s">
        <v>74</v>
      </c>
    </row>
    <row r="300" spans="1:32" s="67" customFormat="1" ht="30" customHeight="1" x14ac:dyDescent="0.25">
      <c r="A300" s="71">
        <v>46155</v>
      </c>
      <c r="B300" s="70" t="s">
        <v>1</v>
      </c>
      <c r="C300" s="70" t="s">
        <v>22</v>
      </c>
      <c r="D300" s="70">
        <v>26</v>
      </c>
      <c r="E300" s="70">
        <v>9</v>
      </c>
      <c r="F300" s="70">
        <v>13</v>
      </c>
      <c r="G300" s="70">
        <v>2</v>
      </c>
      <c r="H300" s="70">
        <v>2</v>
      </c>
      <c r="I300" s="70"/>
      <c r="J300" s="70"/>
      <c r="K300" s="70"/>
      <c r="L300" s="70"/>
      <c r="M300" s="70">
        <f>44</f>
        <v>44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>
        <f>SUM(E300:AA300)</f>
        <v>70</v>
      </c>
      <c r="AC300" s="70">
        <f>AD300-AB300</f>
        <v>101</v>
      </c>
      <c r="AD300" s="70">
        <f>70+101</f>
        <v>171</v>
      </c>
      <c r="AE300" s="69">
        <f>(AB300/AD300)</f>
        <v>0.40935672514619881</v>
      </c>
      <c r="AF300" s="68" t="s">
        <v>71</v>
      </c>
    </row>
    <row r="301" spans="1:32" s="67" customFormat="1" ht="30" customHeight="1" x14ac:dyDescent="0.25">
      <c r="A301" s="71">
        <v>46155</v>
      </c>
      <c r="B301" s="70" t="s">
        <v>1</v>
      </c>
      <c r="C301" s="70" t="s">
        <v>2</v>
      </c>
      <c r="D301" s="70">
        <v>27</v>
      </c>
      <c r="E301" s="70">
        <v>280</v>
      </c>
      <c r="F301" s="70">
        <v>15</v>
      </c>
      <c r="G301" s="70">
        <v>105</v>
      </c>
      <c r="H301" s="70">
        <v>30</v>
      </c>
      <c r="I301" s="70"/>
      <c r="J301" s="70"/>
      <c r="K301" s="70"/>
      <c r="L301" s="70"/>
      <c r="M301" s="70"/>
      <c r="N301" s="70"/>
      <c r="O301" s="70"/>
      <c r="P301" s="70">
        <v>15</v>
      </c>
      <c r="Q301" s="70"/>
      <c r="R301" s="70"/>
      <c r="S301" s="70"/>
      <c r="T301" s="70">
        <v>70</v>
      </c>
      <c r="U301" s="70"/>
      <c r="V301" s="70">
        <f>55+25+10</f>
        <v>90</v>
      </c>
      <c r="W301" s="70"/>
      <c r="X301" s="70"/>
      <c r="Y301" s="70"/>
      <c r="Z301" s="70"/>
      <c r="AA301" s="70"/>
      <c r="AB301" s="70">
        <f>SUM(E301:AA301)</f>
        <v>605</v>
      </c>
      <c r="AC301" s="70">
        <f>AD301-AB301</f>
        <v>1062</v>
      </c>
      <c r="AD301" s="70">
        <f>605+1062</f>
        <v>1667</v>
      </c>
      <c r="AE301" s="69">
        <f>(AB301/AD301)</f>
        <v>0.36292741451709659</v>
      </c>
      <c r="AF301" s="68" t="s">
        <v>71</v>
      </c>
    </row>
    <row r="302" spans="1:32" s="67" customFormat="1" ht="30" customHeight="1" x14ac:dyDescent="0.25">
      <c r="A302" s="71">
        <v>46155</v>
      </c>
      <c r="B302" s="70" t="s">
        <v>1</v>
      </c>
      <c r="C302" s="70" t="s">
        <v>0</v>
      </c>
      <c r="D302" s="70">
        <v>28</v>
      </c>
      <c r="E302" s="70"/>
      <c r="F302" s="70">
        <v>42</v>
      </c>
      <c r="G302" s="70">
        <v>46</v>
      </c>
      <c r="H302" s="70">
        <v>23</v>
      </c>
      <c r="I302" s="70">
        <v>14</v>
      </c>
      <c r="J302" s="70"/>
      <c r="K302" s="70"/>
      <c r="L302" s="70"/>
      <c r="M302" s="70">
        <v>44</v>
      </c>
      <c r="N302" s="70"/>
      <c r="O302" s="70"/>
      <c r="P302" s="70">
        <v>33</v>
      </c>
      <c r="Q302" s="70"/>
      <c r="R302" s="70"/>
      <c r="S302" s="70"/>
      <c r="T302" s="70"/>
      <c r="U302" s="70"/>
      <c r="V302" s="70">
        <f>20+3</f>
        <v>23</v>
      </c>
      <c r="W302" s="70"/>
      <c r="X302" s="70"/>
      <c r="Y302" s="70"/>
      <c r="Z302" s="70"/>
      <c r="AA302" s="70"/>
      <c r="AB302" s="70">
        <f>SUM(E302:AA302)</f>
        <v>225</v>
      </c>
      <c r="AC302" s="70">
        <f>AD302-AB302</f>
        <v>480</v>
      </c>
      <c r="AD302" s="70">
        <f>225+480</f>
        <v>705</v>
      </c>
      <c r="AE302" s="69">
        <f>(AB302/AD302)</f>
        <v>0.31914893617021278</v>
      </c>
      <c r="AF302" s="68" t="s">
        <v>71</v>
      </c>
    </row>
    <row r="303" spans="1:32" s="72" customFormat="1" ht="30" customHeight="1" x14ac:dyDescent="0.25">
      <c r="A303" s="76">
        <v>46157</v>
      </c>
      <c r="B303" s="75" t="s">
        <v>1</v>
      </c>
      <c r="C303" s="75" t="s">
        <v>3</v>
      </c>
      <c r="D303" s="75">
        <v>1</v>
      </c>
      <c r="E303" s="75">
        <v>28</v>
      </c>
      <c r="F303" s="75">
        <v>19</v>
      </c>
      <c r="G303" s="75">
        <v>12</v>
      </c>
      <c r="H303" s="75">
        <v>6</v>
      </c>
      <c r="I303" s="75"/>
      <c r="J303" s="75">
        <v>13</v>
      </c>
      <c r="K303" s="75"/>
      <c r="L303" s="75">
        <v>8</v>
      </c>
      <c r="M303" s="75">
        <v>28</v>
      </c>
      <c r="N303" s="75"/>
      <c r="O303" s="75"/>
      <c r="P303" s="75">
        <v>7</v>
      </c>
      <c r="Q303" s="75"/>
      <c r="R303" s="75"/>
      <c r="S303" s="75"/>
      <c r="T303" s="75">
        <v>14</v>
      </c>
      <c r="U303" s="75"/>
      <c r="V303" s="75">
        <f>24+6</f>
        <v>30</v>
      </c>
      <c r="W303" s="75"/>
      <c r="X303" s="75"/>
      <c r="Y303" s="75"/>
      <c r="Z303" s="75"/>
      <c r="AA303" s="75"/>
      <c r="AB303" s="75">
        <f>SUM(E303:AA303)</f>
        <v>165</v>
      </c>
      <c r="AC303" s="75">
        <f>AD303-AB303</f>
        <v>223</v>
      </c>
      <c r="AD303" s="75">
        <f>165+223</f>
        <v>388</v>
      </c>
      <c r="AE303" s="74">
        <f>(AB303/AD303)</f>
        <v>0.42525773195876287</v>
      </c>
      <c r="AF303" s="73" t="s">
        <v>71</v>
      </c>
    </row>
    <row r="304" spans="1:32" s="67" customFormat="1" ht="30" customHeight="1" x14ac:dyDescent="0.25">
      <c r="A304" s="71">
        <v>46157</v>
      </c>
      <c r="B304" s="70" t="s">
        <v>78</v>
      </c>
      <c r="C304" s="70" t="s">
        <v>80</v>
      </c>
      <c r="D304" s="70">
        <v>2</v>
      </c>
      <c r="E304" s="70">
        <f>80+70+30+32</f>
        <v>212</v>
      </c>
      <c r="F304" s="70">
        <f>8+13</f>
        <v>21</v>
      </c>
      <c r="G304" s="70">
        <f>14+19</f>
        <v>33</v>
      </c>
      <c r="H304" s="70"/>
      <c r="I304" s="70">
        <f>54</f>
        <v>54</v>
      </c>
      <c r="J304" s="70"/>
      <c r="K304" s="70"/>
      <c r="L304" s="70"/>
      <c r="M304" s="70">
        <f>23+18</f>
        <v>41</v>
      </c>
      <c r="N304" s="70"/>
      <c r="O304" s="70">
        <f>34</f>
        <v>34</v>
      </c>
      <c r="P304" s="70"/>
      <c r="Q304" s="70"/>
      <c r="R304" s="70">
        <f>74</f>
        <v>74</v>
      </c>
      <c r="S304" s="70"/>
      <c r="T304" s="70"/>
      <c r="U304" s="70"/>
      <c r="V304" s="70">
        <f>73+68+50+32+15+17+6</f>
        <v>261</v>
      </c>
      <c r="W304" s="70"/>
      <c r="X304" s="70"/>
      <c r="Y304" s="70"/>
      <c r="Z304" s="70"/>
      <c r="AA304" s="70"/>
      <c r="AB304" s="70">
        <f>SUM(E304:AA304)</f>
        <v>730</v>
      </c>
      <c r="AC304" s="70">
        <f>AD304-AB304</f>
        <v>1320</v>
      </c>
      <c r="AD304" s="70">
        <f>730+1320</f>
        <v>2050</v>
      </c>
      <c r="AE304" s="69">
        <f>(AB304/AD304)</f>
        <v>0.35609756097560974</v>
      </c>
      <c r="AF304" s="68" t="s">
        <v>71</v>
      </c>
    </row>
    <row r="305" spans="1:32" s="67" customFormat="1" ht="30" customHeight="1" x14ac:dyDescent="0.25">
      <c r="A305" s="71">
        <v>46157</v>
      </c>
      <c r="B305" s="70" t="s">
        <v>78</v>
      </c>
      <c r="C305" s="70" t="s">
        <v>79</v>
      </c>
      <c r="D305" s="70">
        <v>3</v>
      </c>
      <c r="E305" s="70">
        <v>6</v>
      </c>
      <c r="F305" s="70">
        <v>16</v>
      </c>
      <c r="G305" s="70">
        <v>12</v>
      </c>
      <c r="H305" s="70">
        <v>12</v>
      </c>
      <c r="I305" s="70"/>
      <c r="J305" s="70"/>
      <c r="K305" s="70">
        <v>7</v>
      </c>
      <c r="L305" s="70"/>
      <c r="M305" s="70"/>
      <c r="N305" s="70">
        <v>4</v>
      </c>
      <c r="O305" s="70">
        <v>5</v>
      </c>
      <c r="P305" s="70">
        <v>35</v>
      </c>
      <c r="Q305" s="70"/>
      <c r="R305" s="70">
        <v>5</v>
      </c>
      <c r="S305" s="70"/>
      <c r="T305" s="70"/>
      <c r="U305" s="70"/>
      <c r="V305" s="70">
        <f>23+26</f>
        <v>49</v>
      </c>
      <c r="W305" s="70"/>
      <c r="X305" s="70">
        <v>4</v>
      </c>
      <c r="Y305" s="70">
        <v>9</v>
      </c>
      <c r="Z305" s="70"/>
      <c r="AA305" s="70"/>
      <c r="AB305" s="70">
        <f>SUM(E305:AA305)</f>
        <v>164</v>
      </c>
      <c r="AC305" s="70">
        <f>AD305-AB305</f>
        <v>210</v>
      </c>
      <c r="AD305" s="70">
        <f>164+210</f>
        <v>374</v>
      </c>
      <c r="AE305" s="69">
        <f>(AB305/AD305)</f>
        <v>0.43850267379679142</v>
      </c>
      <c r="AF305" s="68" t="s">
        <v>71</v>
      </c>
    </row>
    <row r="306" spans="1:32" s="67" customFormat="1" ht="30" customHeight="1" x14ac:dyDescent="0.25">
      <c r="A306" s="71">
        <v>46157</v>
      </c>
      <c r="B306" s="70" t="s">
        <v>1</v>
      </c>
      <c r="C306" s="70" t="s">
        <v>16</v>
      </c>
      <c r="D306" s="70">
        <v>4</v>
      </c>
      <c r="E306" s="70">
        <v>232</v>
      </c>
      <c r="F306" s="70">
        <v>20</v>
      </c>
      <c r="G306" s="70"/>
      <c r="H306" s="70"/>
      <c r="I306" s="70"/>
      <c r="J306" s="70"/>
      <c r="K306" s="70"/>
      <c r="L306" s="70"/>
      <c r="M306" s="70">
        <v>125</v>
      </c>
      <c r="N306" s="70">
        <v>10</v>
      </c>
      <c r="O306" s="70"/>
      <c r="P306" s="70">
        <v>108</v>
      </c>
      <c r="Q306" s="70"/>
      <c r="R306" s="70">
        <v>115</v>
      </c>
      <c r="S306" s="70"/>
      <c r="T306" s="70">
        <v>13</v>
      </c>
      <c r="U306" s="70"/>
      <c r="V306" s="70">
        <f>125+25+65</f>
        <v>215</v>
      </c>
      <c r="W306" s="70"/>
      <c r="X306" s="70"/>
      <c r="Y306" s="70"/>
      <c r="Z306" s="70"/>
      <c r="AA306" s="70">
        <v>30</v>
      </c>
      <c r="AB306" s="70">
        <f>SUM(E306:AA306)</f>
        <v>868</v>
      </c>
      <c r="AC306" s="70">
        <f>AD306-AB306</f>
        <v>1760</v>
      </c>
      <c r="AD306" s="70">
        <f>868+1760</f>
        <v>2628</v>
      </c>
      <c r="AE306" s="69">
        <f>(AB306/AD306)</f>
        <v>0.33028919330289191</v>
      </c>
      <c r="AF306" s="68" t="s">
        <v>71</v>
      </c>
    </row>
    <row r="307" spans="1:32" s="67" customFormat="1" ht="30" customHeight="1" x14ac:dyDescent="0.25">
      <c r="A307" s="71">
        <v>46157</v>
      </c>
      <c r="B307" s="70" t="s">
        <v>1</v>
      </c>
      <c r="C307" s="70" t="s">
        <v>16</v>
      </c>
      <c r="D307" s="70">
        <v>5</v>
      </c>
      <c r="E307" s="70">
        <v>229</v>
      </c>
      <c r="F307" s="70">
        <v>159</v>
      </c>
      <c r="G307" s="70">
        <v>33</v>
      </c>
      <c r="H307" s="70">
        <v>15</v>
      </c>
      <c r="I307" s="70">
        <v>15</v>
      </c>
      <c r="J307" s="70"/>
      <c r="K307" s="70"/>
      <c r="L307" s="70"/>
      <c r="M307" s="70">
        <v>319</v>
      </c>
      <c r="N307" s="70"/>
      <c r="O307" s="70"/>
      <c r="P307" s="70">
        <v>285</v>
      </c>
      <c r="Q307" s="70"/>
      <c r="R307" s="70">
        <v>94</v>
      </c>
      <c r="S307" s="70"/>
      <c r="T307" s="70"/>
      <c r="U307" s="70"/>
      <c r="V307" s="70">
        <v>191</v>
      </c>
      <c r="W307" s="70"/>
      <c r="X307" s="70"/>
      <c r="Y307" s="70"/>
      <c r="Z307" s="70"/>
      <c r="AA307" s="70"/>
      <c r="AB307" s="70">
        <f>SUM(E307:AA307)</f>
        <v>1340</v>
      </c>
      <c r="AC307" s="70">
        <f>AD307-AB307</f>
        <v>1720</v>
      </c>
      <c r="AD307" s="70">
        <f>1340+1720</f>
        <v>3060</v>
      </c>
      <c r="AE307" s="69">
        <f>(AB307/AD307)</f>
        <v>0.43790849673202614</v>
      </c>
      <c r="AF307" s="68" t="s">
        <v>71</v>
      </c>
    </row>
    <row r="308" spans="1:32" s="67" customFormat="1" ht="30" customHeight="1" x14ac:dyDescent="0.25">
      <c r="A308" s="71">
        <v>46157</v>
      </c>
      <c r="B308" s="70" t="s">
        <v>1</v>
      </c>
      <c r="C308" s="70" t="s">
        <v>15</v>
      </c>
      <c r="D308" s="70">
        <v>6</v>
      </c>
      <c r="E308" s="70">
        <v>172</v>
      </c>
      <c r="F308" s="70">
        <v>38</v>
      </c>
      <c r="G308" s="70">
        <v>49</v>
      </c>
      <c r="H308" s="70">
        <v>135</v>
      </c>
      <c r="I308" s="70"/>
      <c r="J308" s="70">
        <v>20</v>
      </c>
      <c r="K308" s="70">
        <v>15</v>
      </c>
      <c r="L308" s="70"/>
      <c r="M308" s="70">
        <v>85</v>
      </c>
      <c r="N308" s="70">
        <v>10</v>
      </c>
      <c r="O308" s="70"/>
      <c r="P308" s="70">
        <v>117</v>
      </c>
      <c r="Q308" s="70"/>
      <c r="R308" s="70">
        <v>30</v>
      </c>
      <c r="S308" s="70">
        <v>5</v>
      </c>
      <c r="T308" s="70">
        <v>40</v>
      </c>
      <c r="U308" s="70"/>
      <c r="V308" s="70">
        <f>133+6</f>
        <v>139</v>
      </c>
      <c r="W308" s="70"/>
      <c r="X308" s="70"/>
      <c r="Y308" s="70"/>
      <c r="Z308" s="70"/>
      <c r="AA308" s="70"/>
      <c r="AB308" s="70">
        <f>SUM(E308:AA308)</f>
        <v>855</v>
      </c>
      <c r="AC308" s="70">
        <f>AD308-AB308</f>
        <v>1296</v>
      </c>
      <c r="AD308" s="70">
        <f>855+1296</f>
        <v>2151</v>
      </c>
      <c r="AE308" s="69">
        <f>(AB308/AD308)</f>
        <v>0.39748953974895396</v>
      </c>
      <c r="AF308" s="68" t="s">
        <v>71</v>
      </c>
    </row>
    <row r="309" spans="1:32" s="67" customFormat="1" ht="30" customHeight="1" x14ac:dyDescent="0.25">
      <c r="A309" s="71">
        <v>46157</v>
      </c>
      <c r="B309" s="70" t="s">
        <v>1</v>
      </c>
      <c r="C309" s="70" t="s">
        <v>14</v>
      </c>
      <c r="D309" s="70">
        <v>7</v>
      </c>
      <c r="E309" s="70">
        <v>195</v>
      </c>
      <c r="F309" s="70">
        <v>5</v>
      </c>
      <c r="G309" s="70">
        <v>5</v>
      </c>
      <c r="H309" s="70">
        <v>40</v>
      </c>
      <c r="I309" s="70"/>
      <c r="J309" s="70"/>
      <c r="K309" s="70"/>
      <c r="L309" s="70">
        <v>15</v>
      </c>
      <c r="M309" s="70">
        <v>10</v>
      </c>
      <c r="N309" s="70">
        <v>25</v>
      </c>
      <c r="O309" s="70"/>
      <c r="P309" s="70">
        <v>35</v>
      </c>
      <c r="Q309" s="70">
        <v>10</v>
      </c>
      <c r="R309" s="70"/>
      <c r="S309" s="70">
        <v>10</v>
      </c>
      <c r="T309" s="70"/>
      <c r="U309" s="70"/>
      <c r="V309" s="70">
        <f>35+10+5</f>
        <v>50</v>
      </c>
      <c r="W309" s="70"/>
      <c r="X309" s="70"/>
      <c r="Y309" s="70"/>
      <c r="Z309" s="70"/>
      <c r="AA309" s="70"/>
      <c r="AB309" s="70">
        <f>SUM(E309:AA309)</f>
        <v>400</v>
      </c>
      <c r="AC309" s="70">
        <f>AD309-AB309</f>
        <v>910</v>
      </c>
      <c r="AD309" s="70">
        <f>400+910</f>
        <v>1310</v>
      </c>
      <c r="AE309" s="69">
        <f>(AB309/AD309)</f>
        <v>0.30534351145038169</v>
      </c>
      <c r="AF309" s="68" t="s">
        <v>71</v>
      </c>
    </row>
    <row r="310" spans="1:32" s="67" customFormat="1" ht="30" customHeight="1" x14ac:dyDescent="0.25">
      <c r="A310" s="71">
        <v>46157</v>
      </c>
      <c r="B310" s="70" t="s">
        <v>78</v>
      </c>
      <c r="C310" s="70" t="s">
        <v>77</v>
      </c>
      <c r="D310" s="70">
        <v>8</v>
      </c>
      <c r="E310" s="70">
        <v>128</v>
      </c>
      <c r="F310" s="70">
        <v>72</v>
      </c>
      <c r="G310" s="70">
        <v>31</v>
      </c>
      <c r="H310" s="70">
        <v>58</v>
      </c>
      <c r="I310" s="70"/>
      <c r="J310" s="70"/>
      <c r="K310" s="70">
        <v>12</v>
      </c>
      <c r="L310" s="70"/>
      <c r="M310" s="70">
        <v>68</v>
      </c>
      <c r="N310" s="70"/>
      <c r="O310" s="70">
        <v>10</v>
      </c>
      <c r="P310" s="70">
        <v>91</v>
      </c>
      <c r="Q310" s="70">
        <v>20</v>
      </c>
      <c r="R310" s="70"/>
      <c r="S310" s="70"/>
      <c r="T310" s="70">
        <v>43</v>
      </c>
      <c r="U310" s="70"/>
      <c r="V310" s="70">
        <f>103+14</f>
        <v>117</v>
      </c>
      <c r="W310" s="70"/>
      <c r="X310" s="70"/>
      <c r="Y310" s="70">
        <v>12</v>
      </c>
      <c r="Z310" s="70"/>
      <c r="AA310" s="70"/>
      <c r="AB310" s="70">
        <f>SUM(E310:AA310)</f>
        <v>662</v>
      </c>
      <c r="AC310" s="70">
        <f>AD310-AB310</f>
        <v>1008</v>
      </c>
      <c r="AD310" s="70">
        <f>662+1008</f>
        <v>1670</v>
      </c>
      <c r="AE310" s="69">
        <f>(AB310/AD310)</f>
        <v>0.3964071856287425</v>
      </c>
      <c r="AF310" s="68" t="s">
        <v>71</v>
      </c>
    </row>
    <row r="311" spans="1:32" s="67" customFormat="1" ht="30" customHeight="1" x14ac:dyDescent="0.25">
      <c r="A311" s="71">
        <v>46157</v>
      </c>
      <c r="B311" s="70" t="s">
        <v>1</v>
      </c>
      <c r="C311" s="70" t="s">
        <v>12</v>
      </c>
      <c r="D311" s="70">
        <v>9</v>
      </c>
      <c r="E311" s="70">
        <v>167</v>
      </c>
      <c r="F311" s="70">
        <v>35</v>
      </c>
      <c r="G311" s="70">
        <v>30</v>
      </c>
      <c r="H311" s="70">
        <v>61</v>
      </c>
      <c r="I311" s="70">
        <v>14</v>
      </c>
      <c r="J311" s="70">
        <v>13</v>
      </c>
      <c r="K311" s="70"/>
      <c r="L311" s="70"/>
      <c r="M311" s="70">
        <v>63</v>
      </c>
      <c r="N311" s="70">
        <v>6</v>
      </c>
      <c r="O311" s="70"/>
      <c r="P311" s="70">
        <v>53</v>
      </c>
      <c r="Q311" s="70"/>
      <c r="R311" s="70"/>
      <c r="S311" s="70">
        <v>35</v>
      </c>
      <c r="T311" s="70">
        <v>32</v>
      </c>
      <c r="U311" s="70"/>
      <c r="V311" s="70">
        <f>71+23</f>
        <v>94</v>
      </c>
      <c r="W311" s="70">
        <v>3</v>
      </c>
      <c r="X311" s="70"/>
      <c r="Y311" s="70">
        <v>14</v>
      </c>
      <c r="Z311" s="70"/>
      <c r="AA311" s="70"/>
      <c r="AB311" s="70">
        <f>SUM(E311:AA311)</f>
        <v>620</v>
      </c>
      <c r="AC311" s="70">
        <f>AD311-AB311</f>
        <v>1484</v>
      </c>
      <c r="AD311" s="70">
        <f>620+1484</f>
        <v>2104</v>
      </c>
      <c r="AE311" s="69">
        <f>(AB311/AD311)</f>
        <v>0.29467680608365021</v>
      </c>
      <c r="AF311" s="68" t="s">
        <v>71</v>
      </c>
    </row>
    <row r="312" spans="1:32" s="67" customFormat="1" ht="30" customHeight="1" x14ac:dyDescent="0.25">
      <c r="A312" s="71">
        <v>46157</v>
      </c>
      <c r="B312" s="70" t="s">
        <v>1</v>
      </c>
      <c r="C312" s="70" t="s">
        <v>0</v>
      </c>
      <c r="D312" s="70">
        <v>10</v>
      </c>
      <c r="E312" s="70">
        <v>52</v>
      </c>
      <c r="F312" s="70">
        <v>5</v>
      </c>
      <c r="G312" s="70">
        <v>25</v>
      </c>
      <c r="H312" s="70">
        <v>5</v>
      </c>
      <c r="I312" s="70"/>
      <c r="J312" s="70">
        <v>33</v>
      </c>
      <c r="K312" s="70"/>
      <c r="L312" s="70">
        <v>8</v>
      </c>
      <c r="M312" s="70">
        <v>5</v>
      </c>
      <c r="N312" s="70"/>
      <c r="O312" s="70"/>
      <c r="P312" s="70">
        <v>7</v>
      </c>
      <c r="Q312" s="70"/>
      <c r="R312" s="70"/>
      <c r="S312" s="70">
        <v>10</v>
      </c>
      <c r="T312" s="70"/>
      <c r="U312" s="70"/>
      <c r="V312" s="70">
        <f>18+55</f>
        <v>73</v>
      </c>
      <c r="W312" s="70"/>
      <c r="X312" s="70"/>
      <c r="Y312" s="70"/>
      <c r="Z312" s="70"/>
      <c r="AA312" s="70"/>
      <c r="AB312" s="70">
        <f>SUM(E312:AA312)</f>
        <v>223</v>
      </c>
      <c r="AC312" s="70">
        <f>AD312-AB312</f>
        <v>480</v>
      </c>
      <c r="AD312" s="70">
        <f>223+480</f>
        <v>703</v>
      </c>
      <c r="AE312" s="69">
        <f>(AB312/AD312)</f>
        <v>0.31721194879089615</v>
      </c>
      <c r="AF312" s="68" t="s">
        <v>71</v>
      </c>
    </row>
    <row r="313" spans="1:32" s="67" customFormat="1" ht="30" customHeight="1" x14ac:dyDescent="0.25">
      <c r="A313" s="71">
        <v>46157</v>
      </c>
      <c r="B313" s="70" t="s">
        <v>1</v>
      </c>
      <c r="C313" s="70" t="s">
        <v>10</v>
      </c>
      <c r="D313" s="70">
        <v>11</v>
      </c>
      <c r="E313" s="70">
        <v>96</v>
      </c>
      <c r="F313" s="70">
        <v>40</v>
      </c>
      <c r="G313" s="70"/>
      <c r="H313" s="70">
        <v>5</v>
      </c>
      <c r="I313" s="70"/>
      <c r="J313" s="70">
        <v>20</v>
      </c>
      <c r="K313" s="70">
        <v>20</v>
      </c>
      <c r="L313" s="70"/>
      <c r="M313" s="70">
        <v>40</v>
      </c>
      <c r="N313" s="70"/>
      <c r="O313" s="70"/>
      <c r="P313" s="70">
        <v>30</v>
      </c>
      <c r="Q313" s="70"/>
      <c r="R313" s="70">
        <v>6</v>
      </c>
      <c r="S313" s="70"/>
      <c r="T313" s="70">
        <v>5</v>
      </c>
      <c r="U313" s="70"/>
      <c r="V313" s="70">
        <f>6+8+15</f>
        <v>29</v>
      </c>
      <c r="W313" s="70"/>
      <c r="X313" s="70"/>
      <c r="Y313" s="70"/>
      <c r="Z313" s="70"/>
      <c r="AA313" s="70">
        <v>24</v>
      </c>
      <c r="AB313" s="70">
        <f>SUM(E313:AA313)</f>
        <v>315</v>
      </c>
      <c r="AC313" s="70">
        <f>AD313-AB313</f>
        <v>880</v>
      </c>
      <c r="AD313" s="70">
        <f>315+880</f>
        <v>1195</v>
      </c>
      <c r="AE313" s="69">
        <f>(AB313/AD313)</f>
        <v>0.26359832635983266</v>
      </c>
      <c r="AF313" s="68" t="s">
        <v>71</v>
      </c>
    </row>
    <row r="314" spans="1:32" s="67" customFormat="1" ht="30" customHeight="1" x14ac:dyDescent="0.25">
      <c r="A314" s="71">
        <v>46157</v>
      </c>
      <c r="B314" s="70" t="s">
        <v>1</v>
      </c>
      <c r="C314" s="70" t="s">
        <v>11</v>
      </c>
      <c r="D314" s="70">
        <v>13</v>
      </c>
      <c r="E314" s="70">
        <v>24</v>
      </c>
      <c r="F314" s="70"/>
      <c r="G314" s="70"/>
      <c r="H314" s="70"/>
      <c r="I314" s="70"/>
      <c r="J314" s="70">
        <v>20</v>
      </c>
      <c r="K314" s="70">
        <v>8</v>
      </c>
      <c r="L314" s="70"/>
      <c r="M314" s="70">
        <v>7</v>
      </c>
      <c r="N314" s="70"/>
      <c r="O314" s="70"/>
      <c r="P314" s="70">
        <v>13</v>
      </c>
      <c r="Q314" s="70"/>
      <c r="R314" s="70"/>
      <c r="S314" s="70"/>
      <c r="T314" s="70"/>
      <c r="U314" s="70"/>
      <c r="V314" s="70">
        <v>6</v>
      </c>
      <c r="W314" s="70"/>
      <c r="X314" s="70"/>
      <c r="Y314" s="70"/>
      <c r="Z314" s="70"/>
      <c r="AA314" s="70"/>
      <c r="AB314" s="70">
        <f>SUM(E314:AA314)</f>
        <v>78</v>
      </c>
      <c r="AC314" s="70">
        <f>AD314-AB314</f>
        <v>120</v>
      </c>
      <c r="AD314" s="70">
        <f>78+120</f>
        <v>198</v>
      </c>
      <c r="AE314" s="69">
        <f>(AB314/AD314)</f>
        <v>0.39393939393939392</v>
      </c>
      <c r="AF314" s="68" t="s">
        <v>71</v>
      </c>
    </row>
    <row r="315" spans="1:32" s="67" customFormat="1" ht="30" customHeight="1" x14ac:dyDescent="0.25">
      <c r="A315" s="71">
        <v>46157</v>
      </c>
      <c r="B315" s="70" t="s">
        <v>1</v>
      </c>
      <c r="C315" s="70" t="s">
        <v>8</v>
      </c>
      <c r="D315" s="70">
        <v>14</v>
      </c>
      <c r="E315" s="70">
        <f>5+6+5</f>
        <v>16</v>
      </c>
      <c r="F315" s="70">
        <v>24</v>
      </c>
      <c r="G315" s="70">
        <v>2</v>
      </c>
      <c r="H315" s="70"/>
      <c r="I315" s="70"/>
      <c r="J315" s="70"/>
      <c r="K315" s="70">
        <v>11</v>
      </c>
      <c r="L315" s="70">
        <v>30</v>
      </c>
      <c r="M315" s="70">
        <v>71</v>
      </c>
      <c r="N315" s="70"/>
      <c r="O315" s="70">
        <v>22</v>
      </c>
      <c r="P315" s="70">
        <v>16</v>
      </c>
      <c r="Q315" s="70"/>
      <c r="R315" s="70"/>
      <c r="S315" s="70"/>
      <c r="T315" s="70">
        <v>11</v>
      </c>
      <c r="U315" s="70"/>
      <c r="V315" s="70">
        <f>5+7</f>
        <v>12</v>
      </c>
      <c r="W315" s="70"/>
      <c r="X315" s="70"/>
      <c r="Y315" s="70"/>
      <c r="Z315" s="70"/>
      <c r="AA315" s="70">
        <f>16+10+9</f>
        <v>35</v>
      </c>
      <c r="AB315" s="70">
        <f>SUM(E315:AA315)</f>
        <v>250</v>
      </c>
      <c r="AC315" s="70">
        <f>AD315-AB315</f>
        <v>720</v>
      </c>
      <c r="AD315" s="70">
        <f>250+720</f>
        <v>970</v>
      </c>
      <c r="AE315" s="69">
        <f>(AB315/AD315)</f>
        <v>0.25773195876288657</v>
      </c>
      <c r="AF315" s="68" t="s">
        <v>71</v>
      </c>
    </row>
    <row r="316" spans="1:32" s="67" customFormat="1" ht="30" customHeight="1" x14ac:dyDescent="0.25">
      <c r="A316" s="71">
        <v>46157</v>
      </c>
      <c r="B316" s="70" t="s">
        <v>73</v>
      </c>
      <c r="C316" s="70" t="s">
        <v>7</v>
      </c>
      <c r="D316" s="70">
        <v>15</v>
      </c>
      <c r="E316" s="70">
        <v>9</v>
      </c>
      <c r="F316" s="70">
        <v>46</v>
      </c>
      <c r="G316" s="70"/>
      <c r="H316" s="70"/>
      <c r="I316" s="70"/>
      <c r="J316" s="70"/>
      <c r="K316" s="70">
        <v>22</v>
      </c>
      <c r="L316" s="70">
        <v>10</v>
      </c>
      <c r="M316" s="70">
        <v>47</v>
      </c>
      <c r="N316" s="70"/>
      <c r="O316" s="70"/>
      <c r="P316" s="70"/>
      <c r="Q316" s="70"/>
      <c r="R316" s="70"/>
      <c r="S316" s="70"/>
      <c r="T316" s="70">
        <v>7</v>
      </c>
      <c r="U316" s="70"/>
      <c r="V316" s="70">
        <f>3+21</f>
        <v>24</v>
      </c>
      <c r="W316" s="70"/>
      <c r="X316" s="70"/>
      <c r="Y316" s="70"/>
      <c r="Z316" s="70"/>
      <c r="AA316" s="70"/>
      <c r="AB316" s="70">
        <f>SUM(E316:AA316)</f>
        <v>165</v>
      </c>
      <c r="AC316" s="70">
        <f>AD316-AB316</f>
        <v>266</v>
      </c>
      <c r="AD316" s="70">
        <f>165+266</f>
        <v>431</v>
      </c>
      <c r="AE316" s="69">
        <f>(AB316/AD316)</f>
        <v>0.38283062645011601</v>
      </c>
      <c r="AF316" s="68" t="s">
        <v>71</v>
      </c>
    </row>
    <row r="317" spans="1:32" s="67" customFormat="1" ht="30" customHeight="1" x14ac:dyDescent="0.25">
      <c r="A317" s="71">
        <v>46157</v>
      </c>
      <c r="B317" s="70" t="s">
        <v>1</v>
      </c>
      <c r="C317" s="70" t="s">
        <v>10</v>
      </c>
      <c r="D317" s="70">
        <v>16</v>
      </c>
      <c r="E317" s="70">
        <v>112</v>
      </c>
      <c r="F317" s="70">
        <v>29</v>
      </c>
      <c r="G317" s="70">
        <v>38</v>
      </c>
      <c r="H317" s="70">
        <v>5</v>
      </c>
      <c r="I317" s="70"/>
      <c r="J317" s="70"/>
      <c r="K317" s="70">
        <v>8</v>
      </c>
      <c r="L317" s="70"/>
      <c r="M317" s="70">
        <v>96</v>
      </c>
      <c r="N317" s="70"/>
      <c r="O317" s="70">
        <v>6</v>
      </c>
      <c r="P317" s="70">
        <v>66</v>
      </c>
      <c r="Q317" s="70"/>
      <c r="R317" s="70"/>
      <c r="S317" s="70"/>
      <c r="T317" s="70">
        <v>39</v>
      </c>
      <c r="U317" s="70"/>
      <c r="V317" s="70">
        <f>28+6</f>
        <v>34</v>
      </c>
      <c r="W317" s="70"/>
      <c r="X317" s="70"/>
      <c r="Y317" s="70"/>
      <c r="Z317" s="70"/>
      <c r="AA317" s="70">
        <v>16</v>
      </c>
      <c r="AB317" s="70">
        <f>SUM(E317:AA317)</f>
        <v>449</v>
      </c>
      <c r="AC317" s="70">
        <f>AD317-AB317</f>
        <v>880</v>
      </c>
      <c r="AD317" s="70">
        <f>449+880</f>
        <v>1329</v>
      </c>
      <c r="AE317" s="69">
        <f>(AB317/AD317)</f>
        <v>0.33784800601956361</v>
      </c>
      <c r="AF317" s="68" t="s">
        <v>71</v>
      </c>
    </row>
    <row r="318" spans="1:32" s="67" customFormat="1" ht="30" customHeight="1" x14ac:dyDescent="0.25">
      <c r="A318" s="71">
        <v>46157</v>
      </c>
      <c r="B318" s="70" t="s">
        <v>73</v>
      </c>
      <c r="C318" s="70" t="s">
        <v>12</v>
      </c>
      <c r="D318" s="70">
        <v>17</v>
      </c>
      <c r="E318" s="70">
        <f>20+10+32+15</f>
        <v>77</v>
      </c>
      <c r="F318" s="70"/>
      <c r="G318" s="70">
        <f>3+6</f>
        <v>9</v>
      </c>
      <c r="H318" s="70"/>
      <c r="I318" s="70">
        <f>9</f>
        <v>9</v>
      </c>
      <c r="J318" s="70"/>
      <c r="K318" s="70"/>
      <c r="L318" s="70"/>
      <c r="M318" s="70">
        <f>10+5+5</f>
        <v>20</v>
      </c>
      <c r="N318" s="70"/>
      <c r="O318" s="70"/>
      <c r="P318" s="70">
        <v>10</v>
      </c>
      <c r="Q318" s="70"/>
      <c r="R318" s="70"/>
      <c r="S318" s="70"/>
      <c r="T318" s="70"/>
      <c r="U318" s="70"/>
      <c r="V318" s="70">
        <f>15+3+16+25</f>
        <v>59</v>
      </c>
      <c r="W318" s="70"/>
      <c r="X318" s="70"/>
      <c r="Y318" s="70"/>
      <c r="Z318" s="70"/>
      <c r="AA318" s="70"/>
      <c r="AB318" s="70">
        <f>SUM(E318:AA318)</f>
        <v>184</v>
      </c>
      <c r="AC318" s="70">
        <f>AD318-AB318</f>
        <v>1034</v>
      </c>
      <c r="AD318" s="70">
        <f>184+1034</f>
        <v>1218</v>
      </c>
      <c r="AE318" s="69">
        <f>(AB318/AD318)</f>
        <v>0.15106732348111659</v>
      </c>
      <c r="AF318" s="68" t="s">
        <v>71</v>
      </c>
    </row>
    <row r="319" spans="1:32" s="67" customFormat="1" ht="30" customHeight="1" x14ac:dyDescent="0.25">
      <c r="A319" s="71">
        <v>46157</v>
      </c>
      <c r="B319" s="70" t="s">
        <v>1</v>
      </c>
      <c r="C319" s="70" t="s">
        <v>6</v>
      </c>
      <c r="D319" s="70">
        <v>18</v>
      </c>
      <c r="E319" s="70">
        <v>62</v>
      </c>
      <c r="F319" s="70">
        <v>28</v>
      </c>
      <c r="G319" s="70">
        <v>10</v>
      </c>
      <c r="H319" s="70">
        <v>20</v>
      </c>
      <c r="I319" s="70"/>
      <c r="J319" s="70"/>
      <c r="K319" s="70">
        <v>23</v>
      </c>
      <c r="L319" s="70"/>
      <c r="M319" s="70">
        <v>96</v>
      </c>
      <c r="N319" s="70"/>
      <c r="O319" s="70"/>
      <c r="P319" s="70">
        <v>10</v>
      </c>
      <c r="Q319" s="70"/>
      <c r="R319" s="70"/>
      <c r="S319" s="70">
        <v>12</v>
      </c>
      <c r="T319" s="70">
        <v>51</v>
      </c>
      <c r="U319" s="70"/>
      <c r="V319" s="70">
        <f>2+26</f>
        <v>28</v>
      </c>
      <c r="W319" s="70"/>
      <c r="X319" s="70"/>
      <c r="Y319" s="70">
        <v>3</v>
      </c>
      <c r="Z319" s="70"/>
      <c r="AA319" s="70"/>
      <c r="AB319" s="70">
        <f>SUM(E319:AA319)</f>
        <v>343</v>
      </c>
      <c r="AC319" s="70">
        <f>AD319-AB319</f>
        <v>1016</v>
      </c>
      <c r="AD319" s="70">
        <f>343+1016</f>
        <v>1359</v>
      </c>
      <c r="AE319" s="69">
        <f>(AB319/AD319)</f>
        <v>0.25239146431199411</v>
      </c>
      <c r="AF319" s="68" t="s">
        <v>71</v>
      </c>
    </row>
    <row r="320" spans="1:32" s="67" customFormat="1" ht="30" customHeight="1" x14ac:dyDescent="0.25">
      <c r="A320" s="71">
        <v>46157</v>
      </c>
      <c r="B320" s="70" t="s">
        <v>1</v>
      </c>
      <c r="C320" s="70" t="s">
        <v>2</v>
      </c>
      <c r="D320" s="70">
        <v>19</v>
      </c>
      <c r="E320" s="70">
        <v>12</v>
      </c>
      <c r="F320" s="70">
        <v>31</v>
      </c>
      <c r="G320" s="70">
        <v>42</v>
      </c>
      <c r="H320" s="70">
        <v>29</v>
      </c>
      <c r="I320" s="70"/>
      <c r="J320" s="70"/>
      <c r="K320" s="70"/>
      <c r="L320" s="70"/>
      <c r="M320" s="70">
        <v>11</v>
      </c>
      <c r="N320" s="70">
        <v>6</v>
      </c>
      <c r="O320" s="70"/>
      <c r="P320" s="70">
        <v>5</v>
      </c>
      <c r="Q320" s="70"/>
      <c r="R320" s="70"/>
      <c r="S320" s="70"/>
      <c r="T320" s="70">
        <v>27</v>
      </c>
      <c r="U320" s="70"/>
      <c r="V320" s="70">
        <f>24+38</f>
        <v>62</v>
      </c>
      <c r="W320" s="70"/>
      <c r="X320" s="70"/>
      <c r="Y320" s="70"/>
      <c r="Z320" s="70"/>
      <c r="AA320" s="70"/>
      <c r="AB320" s="70">
        <f>SUM(E320:AA320)</f>
        <v>225</v>
      </c>
      <c r="AC320" s="70">
        <f>AD320-AB320</f>
        <v>980</v>
      </c>
      <c r="AD320" s="70">
        <f>225+980</f>
        <v>1205</v>
      </c>
      <c r="AE320" s="69">
        <f>(AB320/AD320)</f>
        <v>0.18672199170124482</v>
      </c>
      <c r="AF320" s="68" t="s">
        <v>71</v>
      </c>
    </row>
    <row r="321" spans="1:32" s="67" customFormat="1" ht="30" customHeight="1" x14ac:dyDescent="0.25">
      <c r="A321" s="71">
        <v>46157</v>
      </c>
      <c r="B321" s="70" t="s">
        <v>1</v>
      </c>
      <c r="C321" s="70" t="s">
        <v>9</v>
      </c>
      <c r="D321" s="70">
        <v>20</v>
      </c>
      <c r="E321" s="70">
        <f>20+15+10+12</f>
        <v>57</v>
      </c>
      <c r="F321" s="70">
        <f>5</f>
        <v>5</v>
      </c>
      <c r="G321" s="70"/>
      <c r="H321" s="70"/>
      <c r="I321" s="70"/>
      <c r="J321" s="70"/>
      <c r="K321" s="70">
        <f>5+15</f>
        <v>20</v>
      </c>
      <c r="L321" s="70"/>
      <c r="M321" s="70">
        <f>10+10+5</f>
        <v>25</v>
      </c>
      <c r="N321" s="70"/>
      <c r="O321" s="70"/>
      <c r="P321" s="70">
        <f>20</f>
        <v>20</v>
      </c>
      <c r="Q321" s="70"/>
      <c r="R321" s="70"/>
      <c r="S321" s="70"/>
      <c r="T321" s="70">
        <f>26+5+10+10+20</f>
        <v>71</v>
      </c>
      <c r="U321" s="70"/>
      <c r="V321" s="70">
        <f>10+5+5+5+5</f>
        <v>30</v>
      </c>
      <c r="W321" s="70"/>
      <c r="X321" s="70"/>
      <c r="Y321" s="70"/>
      <c r="Z321" s="70"/>
      <c r="AA321" s="70"/>
      <c r="AB321" s="70">
        <f>SUM(E321:AA321)</f>
        <v>228</v>
      </c>
      <c r="AC321" s="70">
        <f>AD321-AB321</f>
        <v>656</v>
      </c>
      <c r="AD321" s="70">
        <f>228+656</f>
        <v>884</v>
      </c>
      <c r="AE321" s="69">
        <f>(AB321/AD321)</f>
        <v>0.25791855203619912</v>
      </c>
      <c r="AF321" s="68" t="s">
        <v>71</v>
      </c>
    </row>
    <row r="322" spans="1:32" s="67" customFormat="1" ht="26.25" customHeight="1" x14ac:dyDescent="0.25">
      <c r="A322" s="71">
        <v>46157</v>
      </c>
      <c r="B322" s="70" t="s">
        <v>1</v>
      </c>
      <c r="C322" s="70" t="s">
        <v>75</v>
      </c>
      <c r="D322" s="70">
        <v>21</v>
      </c>
      <c r="E322" s="70">
        <v>176</v>
      </c>
      <c r="F322" s="70">
        <v>9</v>
      </c>
      <c r="G322" s="70">
        <v>8</v>
      </c>
      <c r="H322" s="70">
        <v>18</v>
      </c>
      <c r="I322" s="70">
        <v>5</v>
      </c>
      <c r="J322" s="70">
        <v>5</v>
      </c>
      <c r="K322" s="70"/>
      <c r="L322" s="70"/>
      <c r="M322" s="70">
        <f>5+14+24+3+4</f>
        <v>50</v>
      </c>
      <c r="N322" s="70">
        <v>13</v>
      </c>
      <c r="O322" s="70"/>
      <c r="P322" s="70">
        <f>48+3</f>
        <v>51</v>
      </c>
      <c r="Q322" s="70">
        <f>21</f>
        <v>21</v>
      </c>
      <c r="R322" s="70"/>
      <c r="S322" s="70"/>
      <c r="T322" s="70"/>
      <c r="U322" s="70"/>
      <c r="V322" s="70">
        <f>56+9+10+10+19</f>
        <v>104</v>
      </c>
      <c r="W322" s="70"/>
      <c r="X322" s="70"/>
      <c r="Y322" s="70"/>
      <c r="Z322" s="70"/>
      <c r="AA322" s="70"/>
      <c r="AB322" s="70">
        <f>SUM(E322:AA322)</f>
        <v>460</v>
      </c>
      <c r="AC322" s="70">
        <f>AD322-AB322</f>
        <v>830</v>
      </c>
      <c r="AD322" s="70">
        <f>460+830</f>
        <v>1290</v>
      </c>
      <c r="AE322" s="69">
        <f>(AB322/AD322)</f>
        <v>0.35658914728682173</v>
      </c>
      <c r="AF322" s="68" t="s">
        <v>71</v>
      </c>
    </row>
    <row r="323" spans="1:32" s="67" customFormat="1" ht="30" customHeight="1" x14ac:dyDescent="0.25">
      <c r="A323" s="71">
        <v>46157</v>
      </c>
      <c r="B323" s="70" t="s">
        <v>1</v>
      </c>
      <c r="C323" s="70" t="s">
        <v>8</v>
      </c>
      <c r="D323" s="70">
        <v>22</v>
      </c>
      <c r="E323" s="70">
        <v>75</v>
      </c>
      <c r="F323" s="70">
        <v>7</v>
      </c>
      <c r="G323" s="70">
        <v>9</v>
      </c>
      <c r="H323" s="70">
        <v>45</v>
      </c>
      <c r="I323" s="70"/>
      <c r="J323" s="70"/>
      <c r="K323" s="70"/>
      <c r="L323" s="70">
        <v>14</v>
      </c>
      <c r="M323" s="70">
        <v>158</v>
      </c>
      <c r="N323" s="70"/>
      <c r="O323" s="70">
        <v>24</v>
      </c>
      <c r="P323" s="70">
        <v>25</v>
      </c>
      <c r="Q323" s="70"/>
      <c r="R323" s="70"/>
      <c r="S323" s="70"/>
      <c r="T323" s="70">
        <v>16</v>
      </c>
      <c r="U323" s="70"/>
      <c r="V323" s="70">
        <f>10+7</f>
        <v>17</v>
      </c>
      <c r="W323" s="70"/>
      <c r="X323" s="70"/>
      <c r="Y323" s="70"/>
      <c r="Z323" s="70"/>
      <c r="AA323" s="70"/>
      <c r="AB323" s="70">
        <f>SUM(E323:AA323)</f>
        <v>390</v>
      </c>
      <c r="AC323" s="70">
        <f>AD323-AB323</f>
        <v>1124</v>
      </c>
      <c r="AD323" s="70">
        <f>390+1124</f>
        <v>1514</v>
      </c>
      <c r="AE323" s="69">
        <f>(AB323/AD323)</f>
        <v>0.25759577278731838</v>
      </c>
      <c r="AF323" s="68" t="s">
        <v>71</v>
      </c>
    </row>
    <row r="324" spans="1:32" s="67" customFormat="1" ht="30" customHeight="1" x14ac:dyDescent="0.25">
      <c r="A324" s="71">
        <v>46157</v>
      </c>
      <c r="B324" s="70" t="s">
        <v>73</v>
      </c>
      <c r="C324" s="70" t="s">
        <v>7</v>
      </c>
      <c r="D324" s="70">
        <v>23</v>
      </c>
      <c r="E324" s="70">
        <v>10</v>
      </c>
      <c r="F324" s="70">
        <f>9+23</f>
        <v>32</v>
      </c>
      <c r="G324" s="70"/>
      <c r="H324" s="70"/>
      <c r="I324" s="70"/>
      <c r="J324" s="70"/>
      <c r="K324" s="70"/>
      <c r="L324" s="70"/>
      <c r="M324" s="70">
        <f>7+10+2+5+5+6</f>
        <v>35</v>
      </c>
      <c r="N324" s="70"/>
      <c r="O324" s="70"/>
      <c r="P324" s="70">
        <f>8</f>
        <v>8</v>
      </c>
      <c r="Q324" s="70"/>
      <c r="R324" s="70"/>
      <c r="S324" s="70"/>
      <c r="T324" s="70"/>
      <c r="U324" s="70"/>
      <c r="V324" s="70">
        <f>15+22</f>
        <v>37</v>
      </c>
      <c r="W324" s="70"/>
      <c r="X324" s="70"/>
      <c r="Y324" s="70"/>
      <c r="Z324" s="70"/>
      <c r="AA324" s="70">
        <v>18</v>
      </c>
      <c r="AB324" s="70">
        <f>SUM(E324:AA324)</f>
        <v>140</v>
      </c>
      <c r="AC324" s="70">
        <f>AD324-AB324</f>
        <v>195</v>
      </c>
      <c r="AD324" s="70">
        <f>140+195</f>
        <v>335</v>
      </c>
      <c r="AE324" s="69">
        <f>(AB324/AD324)</f>
        <v>0.41791044776119401</v>
      </c>
      <c r="AF324" s="68" t="s">
        <v>71</v>
      </c>
    </row>
    <row r="325" spans="1:32" s="67" customFormat="1" ht="37.5" customHeight="1" x14ac:dyDescent="0.25">
      <c r="A325" s="71">
        <v>46157</v>
      </c>
      <c r="B325" s="70" t="s">
        <v>1</v>
      </c>
      <c r="C325" s="70" t="s">
        <v>6</v>
      </c>
      <c r="D325" s="70">
        <v>24</v>
      </c>
      <c r="E325" s="70">
        <v>54</v>
      </c>
      <c r="F325" s="70"/>
      <c r="G325" s="70"/>
      <c r="H325" s="70"/>
      <c r="I325" s="70"/>
      <c r="J325" s="70"/>
      <c r="K325" s="70">
        <v>7</v>
      </c>
      <c r="L325" s="70"/>
      <c r="M325" s="70">
        <v>40</v>
      </c>
      <c r="N325" s="70"/>
      <c r="O325" s="70"/>
      <c r="P325" s="70">
        <v>13</v>
      </c>
      <c r="Q325" s="70"/>
      <c r="R325" s="70"/>
      <c r="S325" s="70"/>
      <c r="T325" s="70"/>
      <c r="U325" s="70"/>
      <c r="V325" s="70">
        <f>23+23</f>
        <v>46</v>
      </c>
      <c r="W325" s="70"/>
      <c r="X325" s="70"/>
      <c r="Y325" s="70"/>
      <c r="Z325" s="70"/>
      <c r="AA325" s="70">
        <f>5</f>
        <v>5</v>
      </c>
      <c r="AB325" s="70">
        <f>SUM(E325:AA325)</f>
        <v>165</v>
      </c>
      <c r="AC325" s="70">
        <f>AD325-AB325</f>
        <v>1032</v>
      </c>
      <c r="AD325" s="70">
        <f>165+1032</f>
        <v>1197</v>
      </c>
      <c r="AE325" s="69">
        <f>(AB325/AD325)</f>
        <v>0.13784461152882205</v>
      </c>
      <c r="AF325" s="68" t="s">
        <v>71</v>
      </c>
    </row>
    <row r="326" spans="1:32" s="67" customFormat="1" ht="37.5" customHeight="1" x14ac:dyDescent="0.25">
      <c r="A326" s="71">
        <v>46157</v>
      </c>
      <c r="B326" s="70" t="s">
        <v>5</v>
      </c>
      <c r="C326" s="70" t="s">
        <v>4</v>
      </c>
      <c r="D326" s="70">
        <v>25</v>
      </c>
      <c r="E326" s="70">
        <v>355</v>
      </c>
      <c r="F326" s="70"/>
      <c r="G326" s="70">
        <v>25</v>
      </c>
      <c r="H326" s="70">
        <v>110</v>
      </c>
      <c r="I326" s="70"/>
      <c r="J326" s="70"/>
      <c r="K326" s="70">
        <f>20+55</f>
        <v>75</v>
      </c>
      <c r="L326" s="70"/>
      <c r="M326" s="70">
        <v>140</v>
      </c>
      <c r="N326" s="70"/>
      <c r="O326" s="70"/>
      <c r="P326" s="70">
        <v>10</v>
      </c>
      <c r="Q326" s="70"/>
      <c r="R326" s="70"/>
      <c r="S326" s="70"/>
      <c r="T326" s="70"/>
      <c r="U326" s="70"/>
      <c r="V326" s="70">
        <f>45+20</f>
        <v>65</v>
      </c>
      <c r="W326" s="70"/>
      <c r="X326" s="70"/>
      <c r="Y326" s="70"/>
      <c r="Z326" s="70"/>
      <c r="AA326" s="70"/>
      <c r="AB326" s="70">
        <f>SUM(E326:AA326)</f>
        <v>780</v>
      </c>
      <c r="AC326" s="70">
        <f>AD326-AB326</f>
        <v>2032</v>
      </c>
      <c r="AD326" s="70">
        <f>780+2032</f>
        <v>2812</v>
      </c>
      <c r="AE326" s="69">
        <f>(AB326/AD326)</f>
        <v>0.27738264580369842</v>
      </c>
      <c r="AF326" s="68" t="s">
        <v>74</v>
      </c>
    </row>
    <row r="327" spans="1:32" s="67" customFormat="1" ht="30" customHeight="1" x14ac:dyDescent="0.25">
      <c r="A327" s="71">
        <v>46157</v>
      </c>
      <c r="B327" s="70" t="s">
        <v>1</v>
      </c>
      <c r="C327" s="70" t="s">
        <v>22</v>
      </c>
      <c r="D327" s="70">
        <v>26</v>
      </c>
      <c r="E327" s="70">
        <f>7</f>
        <v>7</v>
      </c>
      <c r="F327" s="70">
        <f>5+4</f>
        <v>9</v>
      </c>
      <c r="G327" s="70">
        <f>2</f>
        <v>2</v>
      </c>
      <c r="H327" s="70">
        <f>3+4</f>
        <v>7</v>
      </c>
      <c r="I327" s="70"/>
      <c r="J327" s="70"/>
      <c r="K327" s="70"/>
      <c r="L327" s="70"/>
      <c r="M327" s="70">
        <f>15+14+17+10+2</f>
        <v>58</v>
      </c>
      <c r="N327" s="70"/>
      <c r="O327" s="70"/>
      <c r="P327" s="70">
        <f>15</f>
        <v>15</v>
      </c>
      <c r="Q327" s="70"/>
      <c r="R327" s="70"/>
      <c r="S327" s="70"/>
      <c r="T327" s="70"/>
      <c r="U327" s="70"/>
      <c r="V327" s="70">
        <f>3</f>
        <v>3</v>
      </c>
      <c r="W327" s="70"/>
      <c r="X327" s="70"/>
      <c r="Y327" s="70"/>
      <c r="Z327" s="70"/>
      <c r="AA327" s="70"/>
      <c r="AB327" s="70">
        <f>SUM(E327:AA327)</f>
        <v>101</v>
      </c>
      <c r="AC327" s="70">
        <f>AD327-AB327</f>
        <v>168</v>
      </c>
      <c r="AD327" s="70">
        <f>101+168</f>
        <v>269</v>
      </c>
      <c r="AE327" s="69">
        <f>(AB327/AD327)</f>
        <v>0.37546468401486988</v>
      </c>
      <c r="AF327" s="68" t="s">
        <v>71</v>
      </c>
    </row>
    <row r="328" spans="1:32" s="67" customFormat="1" ht="30" customHeight="1" x14ac:dyDescent="0.25">
      <c r="A328" s="71">
        <v>46157</v>
      </c>
      <c r="B328" s="70" t="s">
        <v>1</v>
      </c>
      <c r="C328" s="70" t="s">
        <v>2</v>
      </c>
      <c r="D328" s="70">
        <v>27</v>
      </c>
      <c r="E328" s="70">
        <v>220</v>
      </c>
      <c r="F328" s="70">
        <v>25</v>
      </c>
      <c r="G328" s="70">
        <v>55</v>
      </c>
      <c r="H328" s="70">
        <v>70</v>
      </c>
      <c r="I328" s="70"/>
      <c r="J328" s="70"/>
      <c r="K328" s="70"/>
      <c r="L328" s="70"/>
      <c r="M328" s="70">
        <v>30</v>
      </c>
      <c r="N328" s="70"/>
      <c r="O328" s="70"/>
      <c r="P328" s="70">
        <v>40</v>
      </c>
      <c r="Q328" s="70"/>
      <c r="R328" s="70"/>
      <c r="S328" s="70"/>
      <c r="T328" s="70">
        <v>65</v>
      </c>
      <c r="U328" s="70"/>
      <c r="V328" s="70">
        <f>75+10+10+10</f>
        <v>105</v>
      </c>
      <c r="W328" s="70"/>
      <c r="X328" s="70"/>
      <c r="Y328" s="70"/>
      <c r="Z328" s="70"/>
      <c r="AA328" s="70"/>
      <c r="AB328" s="70">
        <f>SUM(E328:AA328)</f>
        <v>610</v>
      </c>
      <c r="AC328" s="70">
        <f>AD328-AB328</f>
        <v>1120</v>
      </c>
      <c r="AD328" s="70">
        <f>610+1120</f>
        <v>1730</v>
      </c>
      <c r="AE328" s="69">
        <f>(AB328/AD328)</f>
        <v>0.35260115606936415</v>
      </c>
      <c r="AF328" s="68" t="s">
        <v>71</v>
      </c>
    </row>
    <row r="329" spans="1:32" s="67" customFormat="1" ht="30" customHeight="1" x14ac:dyDescent="0.25">
      <c r="A329" s="71">
        <v>46157</v>
      </c>
      <c r="B329" s="70" t="s">
        <v>1</v>
      </c>
      <c r="C329" s="70" t="s">
        <v>0</v>
      </c>
      <c r="D329" s="70">
        <v>28</v>
      </c>
      <c r="E329" s="70"/>
      <c r="F329" s="70">
        <f>12+10+15+8+8</f>
        <v>53</v>
      </c>
      <c r="G329" s="70">
        <f>11+20+21</f>
        <v>52</v>
      </c>
      <c r="H329" s="70">
        <f>7+7+12</f>
        <v>26</v>
      </c>
      <c r="I329" s="70">
        <f>10</f>
        <v>10</v>
      </c>
      <c r="J329" s="70"/>
      <c r="K329" s="70"/>
      <c r="L329" s="70"/>
      <c r="M329" s="70">
        <f>7+12+3+11</f>
        <v>33</v>
      </c>
      <c r="N329" s="70"/>
      <c r="O329" s="70"/>
      <c r="P329" s="70">
        <f>10+10+5</f>
        <v>25</v>
      </c>
      <c r="Q329" s="70"/>
      <c r="R329" s="70"/>
      <c r="S329" s="70"/>
      <c r="T329" s="70"/>
      <c r="U329" s="70"/>
      <c r="V329" s="70">
        <f>3+3+7+7+5+3</f>
        <v>28</v>
      </c>
      <c r="W329" s="70"/>
      <c r="X329" s="70"/>
      <c r="Y329" s="70"/>
      <c r="Z329" s="70"/>
      <c r="AA329" s="70"/>
      <c r="AB329" s="70">
        <f>SUM(E329:AA329)</f>
        <v>227</v>
      </c>
      <c r="AC329" s="70">
        <f>AD329-AB329</f>
        <v>480</v>
      </c>
      <c r="AD329" s="70">
        <f>227+480</f>
        <v>707</v>
      </c>
      <c r="AE329" s="69">
        <f>(AB329/AD329)</f>
        <v>0.32107496463932106</v>
      </c>
      <c r="AF329" s="68" t="s">
        <v>71</v>
      </c>
    </row>
    <row r="330" spans="1:32" s="72" customFormat="1" ht="30" customHeight="1" x14ac:dyDescent="0.25">
      <c r="A330" s="76">
        <v>46158</v>
      </c>
      <c r="B330" s="75" t="s">
        <v>1</v>
      </c>
      <c r="C330" s="75" t="s">
        <v>3</v>
      </c>
      <c r="D330" s="75">
        <v>1</v>
      </c>
      <c r="E330" s="75">
        <v>18</v>
      </c>
      <c r="F330" s="75">
        <v>22</v>
      </c>
      <c r="G330" s="75">
        <v>2</v>
      </c>
      <c r="H330" s="75">
        <v>7</v>
      </c>
      <c r="I330" s="75"/>
      <c r="J330" s="75"/>
      <c r="K330" s="75">
        <v>7</v>
      </c>
      <c r="L330" s="75">
        <v>4</v>
      </c>
      <c r="M330" s="75">
        <v>37</v>
      </c>
      <c r="N330" s="75"/>
      <c r="O330" s="75"/>
      <c r="P330" s="75">
        <v>6</v>
      </c>
      <c r="Q330" s="75"/>
      <c r="R330" s="75"/>
      <c r="S330" s="75"/>
      <c r="T330" s="75">
        <v>10</v>
      </c>
      <c r="U330" s="75"/>
      <c r="V330" s="75">
        <v>8</v>
      </c>
      <c r="W330" s="75"/>
      <c r="X330" s="75"/>
      <c r="Y330" s="75"/>
      <c r="Z330" s="75"/>
      <c r="AA330" s="75"/>
      <c r="AB330" s="75">
        <f>SUM(E330:AA330)</f>
        <v>121</v>
      </c>
      <c r="AC330" s="75">
        <f>AD330-AB330</f>
        <v>169</v>
      </c>
      <c r="AD330" s="75">
        <f>121+169</f>
        <v>290</v>
      </c>
      <c r="AE330" s="74">
        <f>(AB330/AD330)</f>
        <v>0.41724137931034483</v>
      </c>
      <c r="AF330" s="73" t="s">
        <v>71</v>
      </c>
    </row>
    <row r="331" spans="1:32" s="67" customFormat="1" ht="30" customHeight="1" x14ac:dyDescent="0.25">
      <c r="A331" s="71">
        <v>46158</v>
      </c>
      <c r="B331" s="70" t="s">
        <v>78</v>
      </c>
      <c r="C331" s="70" t="s">
        <v>80</v>
      </c>
      <c r="D331" s="70">
        <v>2</v>
      </c>
      <c r="E331" s="70">
        <f>47+25+24+20+15+14</f>
        <v>145</v>
      </c>
      <c r="F331" s="70">
        <f>11+8+9</f>
        <v>28</v>
      </c>
      <c r="G331" s="70">
        <f>10+14</f>
        <v>24</v>
      </c>
      <c r="H331" s="70"/>
      <c r="I331" s="70">
        <f>32</f>
        <v>32</v>
      </c>
      <c r="J331" s="70"/>
      <c r="K331" s="70">
        <f>19+15</f>
        <v>34</v>
      </c>
      <c r="L331" s="70"/>
      <c r="M331" s="70">
        <f>8+18+20</f>
        <v>46</v>
      </c>
      <c r="N331" s="70"/>
      <c r="O331" s="70">
        <v>11</v>
      </c>
      <c r="P331" s="70">
        <f>4</f>
        <v>4</v>
      </c>
      <c r="Q331" s="70"/>
      <c r="R331" s="70"/>
      <c r="S331" s="70"/>
      <c r="T331" s="70">
        <f>6</f>
        <v>6</v>
      </c>
      <c r="U331" s="70"/>
      <c r="V331" s="70">
        <f>45+12+19+10+14+10+5</f>
        <v>115</v>
      </c>
      <c r="W331" s="70"/>
      <c r="X331" s="70"/>
      <c r="Y331" s="70"/>
      <c r="Z331" s="70"/>
      <c r="AA331" s="70"/>
      <c r="AB331" s="70">
        <f>SUM(E331:AA331)</f>
        <v>445</v>
      </c>
      <c r="AC331" s="70">
        <f>AD331-AB331</f>
        <v>825</v>
      </c>
      <c r="AD331" s="70">
        <f>445+825</f>
        <v>1270</v>
      </c>
      <c r="AE331" s="69">
        <f>(AB331/AD331)</f>
        <v>0.35039370078740156</v>
      </c>
      <c r="AF331" s="68" t="s">
        <v>71</v>
      </c>
    </row>
    <row r="332" spans="1:32" s="67" customFormat="1" ht="30" customHeight="1" x14ac:dyDescent="0.25">
      <c r="A332" s="71">
        <v>46158</v>
      </c>
      <c r="B332" s="70" t="s">
        <v>78</v>
      </c>
      <c r="C332" s="70" t="s">
        <v>79</v>
      </c>
      <c r="D332" s="70">
        <v>3</v>
      </c>
      <c r="E332" s="70">
        <v>9</v>
      </c>
      <c r="F332" s="70">
        <v>9</v>
      </c>
      <c r="G332" s="70">
        <v>15</v>
      </c>
      <c r="H332" s="70">
        <v>10</v>
      </c>
      <c r="I332" s="70"/>
      <c r="J332" s="70"/>
      <c r="K332" s="70">
        <v>9</v>
      </c>
      <c r="L332" s="70"/>
      <c r="M332" s="70"/>
      <c r="N332" s="70">
        <v>2</v>
      </c>
      <c r="O332" s="70">
        <v>2</v>
      </c>
      <c r="P332" s="70">
        <v>23</v>
      </c>
      <c r="Q332" s="70"/>
      <c r="R332" s="70"/>
      <c r="S332" s="70"/>
      <c r="T332" s="70">
        <v>7</v>
      </c>
      <c r="U332" s="70"/>
      <c r="V332" s="70">
        <f>27+22</f>
        <v>49</v>
      </c>
      <c r="W332" s="70"/>
      <c r="X332" s="70"/>
      <c r="Y332" s="70">
        <v>4</v>
      </c>
      <c r="Z332" s="70"/>
      <c r="AA332" s="70"/>
      <c r="AB332" s="70">
        <f>SUM(E332:AA332)</f>
        <v>139</v>
      </c>
      <c r="AC332" s="70">
        <f>AD332-AB332</f>
        <v>180</v>
      </c>
      <c r="AD332" s="70">
        <f>139+180</f>
        <v>319</v>
      </c>
      <c r="AE332" s="69">
        <f>(AB332/AD332)</f>
        <v>0.43573667711598746</v>
      </c>
      <c r="AF332" s="68" t="s">
        <v>71</v>
      </c>
    </row>
    <row r="333" spans="1:32" s="67" customFormat="1" ht="30" customHeight="1" x14ac:dyDescent="0.25">
      <c r="A333" s="71">
        <v>46158</v>
      </c>
      <c r="B333" s="70" t="s">
        <v>1</v>
      </c>
      <c r="C333" s="70" t="s">
        <v>16</v>
      </c>
      <c r="D333" s="70">
        <v>4</v>
      </c>
      <c r="E333" s="70">
        <v>135</v>
      </c>
      <c r="F333" s="70">
        <v>20</v>
      </c>
      <c r="G333" s="70"/>
      <c r="H333" s="70"/>
      <c r="I333" s="70"/>
      <c r="J333" s="70"/>
      <c r="K333" s="70"/>
      <c r="L333" s="70"/>
      <c r="M333" s="70">
        <v>115</v>
      </c>
      <c r="N333" s="70"/>
      <c r="O333" s="70"/>
      <c r="P333" s="70">
        <v>58</v>
      </c>
      <c r="Q333" s="70"/>
      <c r="R333" s="70">
        <v>73</v>
      </c>
      <c r="S333" s="70"/>
      <c r="T333" s="70">
        <v>10</v>
      </c>
      <c r="U333" s="70"/>
      <c r="V333" s="70">
        <f>75+27+10</f>
        <v>112</v>
      </c>
      <c r="W333" s="70"/>
      <c r="X333" s="70"/>
      <c r="Y333" s="70"/>
      <c r="Z333" s="70"/>
      <c r="AA333" s="70">
        <v>15</v>
      </c>
      <c r="AB333" s="70">
        <f>SUM(E333:AA333)</f>
        <v>538</v>
      </c>
      <c r="AC333" s="70">
        <f>AD333-AB333</f>
        <v>1090</v>
      </c>
      <c r="AD333" s="70">
        <f>538+1090</f>
        <v>1628</v>
      </c>
      <c r="AE333" s="69">
        <f>(AB333/AD333)</f>
        <v>0.33046683046683045</v>
      </c>
      <c r="AF333" s="68" t="s">
        <v>71</v>
      </c>
    </row>
    <row r="334" spans="1:32" s="67" customFormat="1" ht="30" customHeight="1" x14ac:dyDescent="0.25">
      <c r="A334" s="71">
        <v>46158</v>
      </c>
      <c r="B334" s="70" t="s">
        <v>1</v>
      </c>
      <c r="C334" s="70" t="s">
        <v>16</v>
      </c>
      <c r="D334" s="70">
        <v>5</v>
      </c>
      <c r="E334" s="70">
        <v>149</v>
      </c>
      <c r="F334" s="70">
        <v>80</v>
      </c>
      <c r="G334" s="70">
        <v>20</v>
      </c>
      <c r="H334" s="70">
        <v>55</v>
      </c>
      <c r="I334" s="70"/>
      <c r="J334" s="70"/>
      <c r="K334" s="70"/>
      <c r="L334" s="70"/>
      <c r="M334" s="70">
        <v>190</v>
      </c>
      <c r="N334" s="70"/>
      <c r="O334" s="70"/>
      <c r="P334" s="70">
        <v>144</v>
      </c>
      <c r="Q334" s="70"/>
      <c r="R334" s="70">
        <v>40</v>
      </c>
      <c r="S334" s="70"/>
      <c r="T334" s="70"/>
      <c r="U334" s="70"/>
      <c r="V334" s="70">
        <v>157</v>
      </c>
      <c r="W334" s="70"/>
      <c r="X334" s="70"/>
      <c r="Y334" s="70"/>
      <c r="Z334" s="70"/>
      <c r="AA334" s="70"/>
      <c r="AB334" s="70">
        <f>SUM(E334:AA334)</f>
        <v>835</v>
      </c>
      <c r="AC334" s="70">
        <f>AD334-AB334</f>
        <v>1080</v>
      </c>
      <c r="AD334" s="70">
        <f>835+1080</f>
        <v>1915</v>
      </c>
      <c r="AE334" s="69">
        <f>(AB334/AD334)</f>
        <v>0.43603133159268931</v>
      </c>
      <c r="AF334" s="68" t="s">
        <v>71</v>
      </c>
    </row>
    <row r="335" spans="1:32" s="67" customFormat="1" ht="30" customHeight="1" x14ac:dyDescent="0.25">
      <c r="A335" s="71">
        <v>46158</v>
      </c>
      <c r="B335" s="70" t="s">
        <v>1</v>
      </c>
      <c r="C335" s="70" t="s">
        <v>15</v>
      </c>
      <c r="D335" s="70">
        <v>6</v>
      </c>
      <c r="E335" s="70">
        <v>115</v>
      </c>
      <c r="F335" s="70">
        <v>45</v>
      </c>
      <c r="G335" s="70">
        <v>65</v>
      </c>
      <c r="H335" s="70">
        <v>40</v>
      </c>
      <c r="I335" s="70"/>
      <c r="J335" s="70">
        <v>5</v>
      </c>
      <c r="K335" s="70"/>
      <c r="L335" s="70"/>
      <c r="M335" s="70">
        <v>68</v>
      </c>
      <c r="N335" s="70">
        <v>10</v>
      </c>
      <c r="O335" s="70"/>
      <c r="P335" s="70">
        <v>87</v>
      </c>
      <c r="Q335" s="70"/>
      <c r="R335" s="70">
        <v>10</v>
      </c>
      <c r="S335" s="70">
        <v>26</v>
      </c>
      <c r="T335" s="70">
        <v>10</v>
      </c>
      <c r="U335" s="70"/>
      <c r="V335" s="70">
        <v>52</v>
      </c>
      <c r="W335" s="70"/>
      <c r="X335" s="70"/>
      <c r="Y335" s="70"/>
      <c r="Z335" s="70"/>
      <c r="AA335" s="70"/>
      <c r="AB335" s="70">
        <f>SUM(E335:AA335)</f>
        <v>533</v>
      </c>
      <c r="AC335" s="70">
        <f>AD335-AB335</f>
        <v>810</v>
      </c>
      <c r="AD335" s="70">
        <f>533+810</f>
        <v>1343</v>
      </c>
      <c r="AE335" s="69">
        <f>(AB335/AD335)</f>
        <v>0.39687267311988084</v>
      </c>
      <c r="AF335" s="68" t="s">
        <v>71</v>
      </c>
    </row>
    <row r="336" spans="1:32" s="67" customFormat="1" ht="30" customHeight="1" x14ac:dyDescent="0.25">
      <c r="A336" s="71">
        <v>46158</v>
      </c>
      <c r="B336" s="70" t="s">
        <v>1</v>
      </c>
      <c r="C336" s="70" t="s">
        <v>14</v>
      </c>
      <c r="D336" s="70">
        <v>7</v>
      </c>
      <c r="E336" s="70">
        <v>170</v>
      </c>
      <c r="F336" s="70">
        <v>10</v>
      </c>
      <c r="G336" s="70">
        <v>10</v>
      </c>
      <c r="H336" s="70">
        <v>15</v>
      </c>
      <c r="I336" s="70"/>
      <c r="J336" s="70"/>
      <c r="K336" s="70"/>
      <c r="L336" s="70"/>
      <c r="M336" s="70"/>
      <c r="N336" s="70">
        <v>10</v>
      </c>
      <c r="O336" s="70"/>
      <c r="P336" s="70">
        <v>50</v>
      </c>
      <c r="Q336" s="70">
        <v>10</v>
      </c>
      <c r="R336" s="70"/>
      <c r="S336" s="70">
        <v>10</v>
      </c>
      <c r="T336" s="70"/>
      <c r="U336" s="70"/>
      <c r="V336" s="70">
        <v>20</v>
      </c>
      <c r="W336" s="70"/>
      <c r="X336" s="70"/>
      <c r="Y336" s="70"/>
      <c r="Z336" s="70"/>
      <c r="AA336" s="70"/>
      <c r="AB336" s="70">
        <f>SUM(E336:AA336)</f>
        <v>305</v>
      </c>
      <c r="AC336" s="70">
        <f>AD336-AB336</f>
        <v>700</v>
      </c>
      <c r="AD336" s="70">
        <f>305+700</f>
        <v>1005</v>
      </c>
      <c r="AE336" s="69">
        <f>(AB336/AD336)</f>
        <v>0.30348258706467662</v>
      </c>
      <c r="AF336" s="68" t="s">
        <v>71</v>
      </c>
    </row>
    <row r="337" spans="1:32" s="67" customFormat="1" ht="30" customHeight="1" x14ac:dyDescent="0.25">
      <c r="A337" s="71">
        <v>46158</v>
      </c>
      <c r="B337" s="70" t="s">
        <v>78</v>
      </c>
      <c r="C337" s="70" t="s">
        <v>77</v>
      </c>
      <c r="D337" s="70">
        <v>8</v>
      </c>
      <c r="E337" s="70">
        <v>87</v>
      </c>
      <c r="F337" s="70">
        <v>48</v>
      </c>
      <c r="G337" s="70">
        <v>10</v>
      </c>
      <c r="H337" s="70">
        <v>35</v>
      </c>
      <c r="I337" s="70"/>
      <c r="J337" s="70"/>
      <c r="K337" s="70">
        <v>5</v>
      </c>
      <c r="L337" s="70"/>
      <c r="M337" s="70">
        <v>45</v>
      </c>
      <c r="N337" s="70"/>
      <c r="O337" s="70"/>
      <c r="P337" s="70">
        <v>45</v>
      </c>
      <c r="Q337" s="70"/>
      <c r="R337" s="70"/>
      <c r="S337" s="70"/>
      <c r="T337" s="70">
        <v>41</v>
      </c>
      <c r="U337" s="70"/>
      <c r="V337" s="70">
        <v>128</v>
      </c>
      <c r="W337" s="70"/>
      <c r="X337" s="70"/>
      <c r="Y337" s="70">
        <v>14</v>
      </c>
      <c r="Z337" s="70"/>
      <c r="AA337" s="70"/>
      <c r="AB337" s="70">
        <f>SUM(E337:AA337)</f>
        <v>458</v>
      </c>
      <c r="AC337" s="70">
        <f>AD337-AB337</f>
        <v>700</v>
      </c>
      <c r="AD337" s="70">
        <f>458+700</f>
        <v>1158</v>
      </c>
      <c r="AE337" s="69">
        <f>(AB337/AD337)</f>
        <v>0.39550949913644212</v>
      </c>
      <c r="AF337" s="68" t="s">
        <v>71</v>
      </c>
    </row>
    <row r="338" spans="1:32" s="67" customFormat="1" ht="30" customHeight="1" x14ac:dyDescent="0.25">
      <c r="A338" s="71">
        <v>46158</v>
      </c>
      <c r="B338" s="70" t="s">
        <v>1</v>
      </c>
      <c r="C338" s="70" t="s">
        <v>12</v>
      </c>
      <c r="D338" s="70">
        <v>9</v>
      </c>
      <c r="E338" s="70">
        <v>104</v>
      </c>
      <c r="F338" s="70">
        <v>10</v>
      </c>
      <c r="G338" s="70">
        <v>21</v>
      </c>
      <c r="H338" s="70">
        <v>39</v>
      </c>
      <c r="I338" s="70">
        <v>10</v>
      </c>
      <c r="J338" s="70">
        <v>52</v>
      </c>
      <c r="K338" s="70"/>
      <c r="L338" s="70"/>
      <c r="M338" s="70">
        <v>67</v>
      </c>
      <c r="N338" s="70"/>
      <c r="O338" s="70"/>
      <c r="P338" s="70">
        <v>32</v>
      </c>
      <c r="Q338" s="70"/>
      <c r="R338" s="70"/>
      <c r="S338" s="70">
        <v>31</v>
      </c>
      <c r="T338" s="70">
        <v>10</v>
      </c>
      <c r="U338" s="70"/>
      <c r="V338" s="70">
        <f>35+13</f>
        <v>48</v>
      </c>
      <c r="W338" s="70"/>
      <c r="X338" s="70"/>
      <c r="Y338" s="70">
        <v>16</v>
      </c>
      <c r="Z338" s="70"/>
      <c r="AA338" s="70"/>
      <c r="AB338" s="70">
        <f>SUM(E338:AA338)</f>
        <v>440</v>
      </c>
      <c r="AC338" s="70">
        <f>AD338-AB338</f>
        <v>1066</v>
      </c>
      <c r="AD338" s="70">
        <f>440+1066</f>
        <v>1506</v>
      </c>
      <c r="AE338" s="69">
        <f>(AB338/AD338)</f>
        <v>0.29216467463479417</v>
      </c>
      <c r="AF338" s="68" t="s">
        <v>71</v>
      </c>
    </row>
    <row r="339" spans="1:32" s="67" customFormat="1" ht="30" customHeight="1" x14ac:dyDescent="0.25">
      <c r="A339" s="71">
        <v>46158</v>
      </c>
      <c r="B339" s="70" t="s">
        <v>1</v>
      </c>
      <c r="C339" s="70" t="s">
        <v>0</v>
      </c>
      <c r="D339" s="70">
        <v>10</v>
      </c>
      <c r="E339" s="70">
        <v>37</v>
      </c>
      <c r="F339" s="70">
        <v>8</v>
      </c>
      <c r="G339" s="70">
        <v>20</v>
      </c>
      <c r="H339" s="70"/>
      <c r="I339" s="70"/>
      <c r="J339" s="70">
        <v>17</v>
      </c>
      <c r="K339" s="70"/>
      <c r="L339" s="70">
        <v>11</v>
      </c>
      <c r="M339" s="70"/>
      <c r="N339" s="70"/>
      <c r="O339" s="70">
        <v>5</v>
      </c>
      <c r="P339" s="70">
        <v>5</v>
      </c>
      <c r="Q339" s="70"/>
      <c r="R339" s="70"/>
      <c r="S339" s="70"/>
      <c r="T339" s="70"/>
      <c r="U339" s="70"/>
      <c r="V339" s="70">
        <v>35</v>
      </c>
      <c r="W339" s="70"/>
      <c r="X339" s="70"/>
      <c r="Y339" s="70"/>
      <c r="Z339" s="70"/>
      <c r="AA339" s="70"/>
      <c r="AB339" s="70">
        <f>SUM(E339:AA339)</f>
        <v>138</v>
      </c>
      <c r="AC339" s="70">
        <f>AD339-AB339</f>
        <v>300</v>
      </c>
      <c r="AD339" s="70">
        <f>138+300</f>
        <v>438</v>
      </c>
      <c r="AE339" s="69">
        <f>(AB339/AD339)</f>
        <v>0.31506849315068491</v>
      </c>
      <c r="AF339" s="68" t="s">
        <v>71</v>
      </c>
    </row>
    <row r="340" spans="1:32" s="67" customFormat="1" ht="30" customHeight="1" x14ac:dyDescent="0.25">
      <c r="A340" s="71">
        <v>46158</v>
      </c>
      <c r="B340" s="70" t="s">
        <v>1</v>
      </c>
      <c r="C340" s="70" t="s">
        <v>10</v>
      </c>
      <c r="D340" s="70">
        <v>11</v>
      </c>
      <c r="E340" s="70">
        <v>54</v>
      </c>
      <c r="F340" s="70">
        <v>36</v>
      </c>
      <c r="G340" s="70"/>
      <c r="H340" s="70"/>
      <c r="I340" s="70"/>
      <c r="J340" s="70"/>
      <c r="K340" s="70"/>
      <c r="L340" s="70"/>
      <c r="M340" s="70">
        <v>29</v>
      </c>
      <c r="N340" s="70"/>
      <c r="O340" s="70"/>
      <c r="P340" s="70">
        <v>34</v>
      </c>
      <c r="Q340" s="70"/>
      <c r="R340" s="70"/>
      <c r="S340" s="70"/>
      <c r="T340" s="70"/>
      <c r="U340" s="70"/>
      <c r="V340" s="70">
        <f>16+13</f>
        <v>29</v>
      </c>
      <c r="W340" s="70"/>
      <c r="X340" s="70"/>
      <c r="Y340" s="70"/>
      <c r="Z340" s="70"/>
      <c r="AA340" s="70">
        <v>13</v>
      </c>
      <c r="AB340" s="70">
        <f>SUM(E340:AA340)</f>
        <v>195</v>
      </c>
      <c r="AC340" s="70">
        <f>AD340-AB340</f>
        <v>550</v>
      </c>
      <c r="AD340" s="70">
        <f>195+550</f>
        <v>745</v>
      </c>
      <c r="AE340" s="69">
        <f>(AB340/AD340)</f>
        <v>0.26174496644295303</v>
      </c>
      <c r="AF340" s="68" t="s">
        <v>71</v>
      </c>
    </row>
    <row r="341" spans="1:32" s="67" customFormat="1" ht="30" customHeight="1" x14ac:dyDescent="0.25">
      <c r="A341" s="71">
        <v>46158</v>
      </c>
      <c r="B341" s="70" t="s">
        <v>1</v>
      </c>
      <c r="C341" s="70" t="s">
        <v>11</v>
      </c>
      <c r="D341" s="70">
        <v>13</v>
      </c>
      <c r="E341" s="70">
        <v>4</v>
      </c>
      <c r="F341" s="70">
        <v>3</v>
      </c>
      <c r="G341" s="70"/>
      <c r="H341" s="70"/>
      <c r="I341" s="70"/>
      <c r="J341" s="70">
        <v>16</v>
      </c>
      <c r="K341" s="70">
        <v>7</v>
      </c>
      <c r="L341" s="70"/>
      <c r="M341" s="70">
        <v>8</v>
      </c>
      <c r="N341" s="70"/>
      <c r="O341" s="70">
        <v>2</v>
      </c>
      <c r="P341" s="70">
        <v>3</v>
      </c>
      <c r="Q341" s="70"/>
      <c r="R341" s="70"/>
      <c r="S341" s="70"/>
      <c r="T341" s="70"/>
      <c r="U341" s="70"/>
      <c r="V341" s="70">
        <f>14+7</f>
        <v>21</v>
      </c>
      <c r="W341" s="70"/>
      <c r="X341" s="70"/>
      <c r="Y341" s="70"/>
      <c r="Z341" s="70"/>
      <c r="AA341" s="70"/>
      <c r="AB341" s="70">
        <f>SUM(E341:AA341)</f>
        <v>64</v>
      </c>
      <c r="AC341" s="70">
        <f>AD341-AB341</f>
        <v>100</v>
      </c>
      <c r="AD341" s="70">
        <f>64+100</f>
        <v>164</v>
      </c>
      <c r="AE341" s="69">
        <f>(AB341/AD341)</f>
        <v>0.3902439024390244</v>
      </c>
      <c r="AF341" s="68" t="s">
        <v>71</v>
      </c>
    </row>
    <row r="342" spans="1:32" s="67" customFormat="1" ht="30" customHeight="1" x14ac:dyDescent="0.25">
      <c r="A342" s="71">
        <v>46158</v>
      </c>
      <c r="B342" s="70" t="s">
        <v>1</v>
      </c>
      <c r="C342" s="70" t="s">
        <v>8</v>
      </c>
      <c r="D342" s="70">
        <v>14</v>
      </c>
      <c r="E342" s="70">
        <f>4+5</f>
        <v>9</v>
      </c>
      <c r="F342" s="70">
        <f>6+3+3</f>
        <v>12</v>
      </c>
      <c r="G342" s="70"/>
      <c r="H342" s="70"/>
      <c r="I342" s="70"/>
      <c r="J342" s="70"/>
      <c r="K342" s="70">
        <f>7</f>
        <v>7</v>
      </c>
      <c r="L342" s="70">
        <f>5+5</f>
        <v>10</v>
      </c>
      <c r="M342" s="70">
        <f>14+19+14+4+7</f>
        <v>58</v>
      </c>
      <c r="N342" s="70"/>
      <c r="O342" s="70">
        <f>12+5</f>
        <v>17</v>
      </c>
      <c r="P342" s="70">
        <f>9+7</f>
        <v>16</v>
      </c>
      <c r="Q342" s="70"/>
      <c r="R342" s="70"/>
      <c r="S342" s="70"/>
      <c r="T342" s="70">
        <f>4</f>
        <v>4</v>
      </c>
      <c r="U342" s="70"/>
      <c r="V342" s="70">
        <f>3</f>
        <v>3</v>
      </c>
      <c r="W342" s="70"/>
      <c r="X342" s="70"/>
      <c r="Y342" s="70"/>
      <c r="Z342" s="70"/>
      <c r="AA342" s="70">
        <f>10+7</f>
        <v>17</v>
      </c>
      <c r="AB342" s="70">
        <f>SUM(E342:AA342)</f>
        <v>153</v>
      </c>
      <c r="AC342" s="70">
        <f>AD342-AB342</f>
        <v>450</v>
      </c>
      <c r="AD342" s="70">
        <f>153+450</f>
        <v>603</v>
      </c>
      <c r="AE342" s="69">
        <f>(AB342/AD342)</f>
        <v>0.2537313432835821</v>
      </c>
      <c r="AF342" s="68" t="s">
        <v>71</v>
      </c>
    </row>
    <row r="343" spans="1:32" s="67" customFormat="1" ht="30" customHeight="1" x14ac:dyDescent="0.25">
      <c r="A343" s="71">
        <v>46158</v>
      </c>
      <c r="B343" s="70" t="s">
        <v>73</v>
      </c>
      <c r="C343" s="70" t="s">
        <v>7</v>
      </c>
      <c r="D343" s="70">
        <v>15</v>
      </c>
      <c r="E343" s="70">
        <v>3</v>
      </c>
      <c r="F343" s="70">
        <v>27</v>
      </c>
      <c r="G343" s="70"/>
      <c r="H343" s="70"/>
      <c r="I343" s="70"/>
      <c r="J343" s="70"/>
      <c r="K343" s="70">
        <v>16</v>
      </c>
      <c r="L343" s="70">
        <v>7</v>
      </c>
      <c r="M343" s="70">
        <v>48</v>
      </c>
      <c r="N343" s="70"/>
      <c r="O343" s="70"/>
      <c r="P343" s="70"/>
      <c r="Q343" s="70"/>
      <c r="R343" s="70"/>
      <c r="S343" s="70"/>
      <c r="T343" s="70">
        <v>4</v>
      </c>
      <c r="U343" s="70"/>
      <c r="V343" s="70">
        <f>3+9</f>
        <v>12</v>
      </c>
      <c r="W343" s="70"/>
      <c r="X343" s="70"/>
      <c r="Y343" s="70"/>
      <c r="Z343" s="70"/>
      <c r="AA343" s="70"/>
      <c r="AB343" s="70">
        <f>SUM(E343:AA343)</f>
        <v>117</v>
      </c>
      <c r="AC343" s="70">
        <f>AD343-AB343</f>
        <v>190</v>
      </c>
      <c r="AD343" s="70">
        <f>117+190</f>
        <v>307</v>
      </c>
      <c r="AE343" s="69">
        <f>(AB343/AD343)</f>
        <v>0.38110749185667753</v>
      </c>
      <c r="AF343" s="68" t="s">
        <v>71</v>
      </c>
    </row>
    <row r="344" spans="1:32" s="67" customFormat="1" ht="30" customHeight="1" x14ac:dyDescent="0.25">
      <c r="A344" s="71">
        <v>46158</v>
      </c>
      <c r="B344" s="70" t="s">
        <v>1</v>
      </c>
      <c r="C344" s="70" t="s">
        <v>10</v>
      </c>
      <c r="D344" s="70">
        <v>16</v>
      </c>
      <c r="E344" s="70">
        <v>42</v>
      </c>
      <c r="F344" s="70">
        <v>27</v>
      </c>
      <c r="G344" s="70">
        <v>18</v>
      </c>
      <c r="H344" s="70">
        <v>3</v>
      </c>
      <c r="I344" s="70"/>
      <c r="J344" s="70"/>
      <c r="K344" s="70"/>
      <c r="L344" s="70"/>
      <c r="M344" s="70">
        <v>55</v>
      </c>
      <c r="N344" s="70"/>
      <c r="O344" s="70">
        <v>4</v>
      </c>
      <c r="P344" s="70">
        <v>74</v>
      </c>
      <c r="Q344" s="70"/>
      <c r="R344" s="70"/>
      <c r="S344" s="70"/>
      <c r="T344" s="70">
        <v>16</v>
      </c>
      <c r="U344" s="70"/>
      <c r="V344" s="70">
        <f>15+6</f>
        <v>21</v>
      </c>
      <c r="W344" s="70"/>
      <c r="X344" s="70"/>
      <c r="Y344" s="70"/>
      <c r="Z344" s="70"/>
      <c r="AA344" s="70">
        <v>18</v>
      </c>
      <c r="AB344" s="70">
        <f>SUM(E344:AA344)</f>
        <v>278</v>
      </c>
      <c r="AC344" s="70">
        <f>AD344-AB344</f>
        <v>550</v>
      </c>
      <c r="AD344" s="70">
        <f>278+550</f>
        <v>828</v>
      </c>
      <c r="AE344" s="69">
        <f>(AB344/AD344)</f>
        <v>0.33574879227053139</v>
      </c>
      <c r="AF344" s="68" t="s">
        <v>71</v>
      </c>
    </row>
    <row r="345" spans="1:32" s="67" customFormat="1" ht="30" customHeight="1" x14ac:dyDescent="0.25">
      <c r="A345" s="71">
        <v>46158</v>
      </c>
      <c r="B345" s="70" t="s">
        <v>5</v>
      </c>
      <c r="C345" s="70" t="s">
        <v>76</v>
      </c>
      <c r="D345" s="70">
        <v>17</v>
      </c>
      <c r="E345" s="70">
        <f>23+5+17+5</f>
        <v>50</v>
      </c>
      <c r="F345" s="70">
        <v>16</v>
      </c>
      <c r="G345" s="70">
        <v>11</v>
      </c>
      <c r="H345" s="70"/>
      <c r="I345" s="70"/>
      <c r="J345" s="70"/>
      <c r="K345" s="70"/>
      <c r="L345" s="70"/>
      <c r="M345" s="70"/>
      <c r="N345" s="70"/>
      <c r="O345" s="70"/>
      <c r="P345" s="70">
        <v>7</v>
      </c>
      <c r="Q345" s="70"/>
      <c r="R345" s="70"/>
      <c r="S345" s="70"/>
      <c r="T345" s="70"/>
      <c r="U345" s="70"/>
      <c r="V345" s="70">
        <v>19</v>
      </c>
      <c r="W345" s="70"/>
      <c r="X345" s="70"/>
      <c r="Y345" s="70"/>
      <c r="Z345" s="70"/>
      <c r="AA345" s="70"/>
      <c r="AB345" s="70">
        <f>SUM(E345:AA345)</f>
        <v>103</v>
      </c>
      <c r="AC345" s="70">
        <f>AD345-AB345</f>
        <v>176</v>
      </c>
      <c r="AD345" s="70">
        <f>103+176</f>
        <v>279</v>
      </c>
      <c r="AE345" s="69">
        <f>(AB345/AD345)</f>
        <v>0.36917562724014336</v>
      </c>
      <c r="AF345" s="68" t="s">
        <v>71</v>
      </c>
    </row>
    <row r="346" spans="1:32" s="67" customFormat="1" ht="30" customHeight="1" x14ac:dyDescent="0.25">
      <c r="A346" s="71">
        <v>46158</v>
      </c>
      <c r="B346" s="70" t="s">
        <v>1</v>
      </c>
      <c r="C346" s="70" t="s">
        <v>6</v>
      </c>
      <c r="D346" s="70">
        <v>18</v>
      </c>
      <c r="E346" s="70">
        <v>39</v>
      </c>
      <c r="F346" s="70">
        <v>18</v>
      </c>
      <c r="G346" s="70">
        <v>15</v>
      </c>
      <c r="H346" s="70">
        <v>17</v>
      </c>
      <c r="I346" s="70"/>
      <c r="J346" s="70"/>
      <c r="K346" s="70">
        <v>19</v>
      </c>
      <c r="L346" s="70"/>
      <c r="M346" s="70">
        <v>54</v>
      </c>
      <c r="N346" s="70"/>
      <c r="O346" s="70">
        <v>5</v>
      </c>
      <c r="P346" s="70">
        <v>7</v>
      </c>
      <c r="Q346" s="70"/>
      <c r="R346" s="70"/>
      <c r="S346" s="70">
        <v>5</v>
      </c>
      <c r="T346" s="70">
        <v>19</v>
      </c>
      <c r="U346" s="70"/>
      <c r="V346" s="70">
        <f>11+6</f>
        <v>17</v>
      </c>
      <c r="W346" s="70"/>
      <c r="X346" s="70"/>
      <c r="Y346" s="70"/>
      <c r="Z346" s="70"/>
      <c r="AA346" s="70"/>
      <c r="AB346" s="70">
        <f>SUM(E346:AA346)</f>
        <v>215</v>
      </c>
      <c r="AC346" s="70">
        <f>AD346-AB346</f>
        <v>635</v>
      </c>
      <c r="AD346" s="70">
        <f>215+635</f>
        <v>850</v>
      </c>
      <c r="AE346" s="69">
        <f>(AB346/AD346)</f>
        <v>0.25294117647058822</v>
      </c>
      <c r="AF346" s="68" t="s">
        <v>71</v>
      </c>
    </row>
    <row r="347" spans="1:32" s="67" customFormat="1" ht="30" customHeight="1" x14ac:dyDescent="0.25">
      <c r="A347" s="71">
        <v>46158</v>
      </c>
      <c r="B347" s="70" t="s">
        <v>1</v>
      </c>
      <c r="C347" s="70" t="s">
        <v>2</v>
      </c>
      <c r="D347" s="70">
        <v>19</v>
      </c>
      <c r="E347" s="70">
        <v>34</v>
      </c>
      <c r="F347" s="70">
        <v>20</v>
      </c>
      <c r="G347" s="70">
        <v>28</v>
      </c>
      <c r="H347" s="70">
        <v>44</v>
      </c>
      <c r="I347" s="70"/>
      <c r="J347" s="70"/>
      <c r="K347" s="70"/>
      <c r="L347" s="70"/>
      <c r="M347" s="70">
        <v>12</v>
      </c>
      <c r="N347" s="70">
        <v>3</v>
      </c>
      <c r="O347" s="70"/>
      <c r="P347" s="70">
        <v>7</v>
      </c>
      <c r="Q347" s="70"/>
      <c r="R347" s="70"/>
      <c r="S347" s="70"/>
      <c r="T347" s="70">
        <v>9</v>
      </c>
      <c r="U347" s="70"/>
      <c r="V347" s="70">
        <v>13</v>
      </c>
      <c r="W347" s="70"/>
      <c r="X347" s="70"/>
      <c r="Y347" s="70"/>
      <c r="Z347" s="70"/>
      <c r="AA347" s="70"/>
      <c r="AB347" s="70">
        <f>SUM(E347:AA347)</f>
        <v>170</v>
      </c>
      <c r="AC347" s="70">
        <f>AD347-AB347</f>
        <v>700</v>
      </c>
      <c r="AD347" s="70">
        <f>170+700</f>
        <v>870</v>
      </c>
      <c r="AE347" s="69">
        <f>(AB347/AD347)</f>
        <v>0.19540229885057472</v>
      </c>
      <c r="AF347" s="68" t="s">
        <v>71</v>
      </c>
    </row>
    <row r="348" spans="1:32" s="67" customFormat="1" ht="30" customHeight="1" x14ac:dyDescent="0.25">
      <c r="A348" s="71">
        <v>46158</v>
      </c>
      <c r="B348" s="70" t="s">
        <v>1</v>
      </c>
      <c r="C348" s="70" t="s">
        <v>9</v>
      </c>
      <c r="D348" s="70">
        <v>20</v>
      </c>
      <c r="E348" s="70">
        <v>40</v>
      </c>
      <c r="F348" s="70"/>
      <c r="G348" s="70"/>
      <c r="H348" s="70"/>
      <c r="I348" s="70"/>
      <c r="J348" s="70"/>
      <c r="K348" s="70">
        <v>23</v>
      </c>
      <c r="L348" s="70"/>
      <c r="M348" s="70">
        <v>25</v>
      </c>
      <c r="N348" s="70"/>
      <c r="O348" s="70"/>
      <c r="P348" s="70">
        <v>15</v>
      </c>
      <c r="Q348" s="70"/>
      <c r="R348" s="70"/>
      <c r="S348" s="70"/>
      <c r="T348" s="70">
        <v>30</v>
      </c>
      <c r="U348" s="70"/>
      <c r="V348" s="70">
        <v>10</v>
      </c>
      <c r="W348" s="70"/>
      <c r="X348" s="70"/>
      <c r="Y348" s="70"/>
      <c r="Z348" s="70"/>
      <c r="AA348" s="70"/>
      <c r="AB348" s="70">
        <f>SUM(E348:AA348)</f>
        <v>143</v>
      </c>
      <c r="AC348" s="70">
        <f>AD348-AB348</f>
        <v>410</v>
      </c>
      <c r="AD348" s="70">
        <f>143+410</f>
        <v>553</v>
      </c>
      <c r="AE348" s="69">
        <f>(AB348/AD348)</f>
        <v>0.25858951175406869</v>
      </c>
      <c r="AF348" s="68" t="s">
        <v>71</v>
      </c>
    </row>
    <row r="349" spans="1:32" s="67" customFormat="1" ht="30" customHeight="1" x14ac:dyDescent="0.25">
      <c r="A349" s="71">
        <v>46158</v>
      </c>
      <c r="B349" s="70" t="s">
        <v>1</v>
      </c>
      <c r="C349" s="70" t="s">
        <v>75</v>
      </c>
      <c r="D349" s="70">
        <v>21</v>
      </c>
      <c r="E349" s="70">
        <f>58+40+20</f>
        <v>118</v>
      </c>
      <c r="F349" s="70">
        <f>10</f>
        <v>10</v>
      </c>
      <c r="G349" s="70"/>
      <c r="H349" s="70">
        <f>9</f>
        <v>9</v>
      </c>
      <c r="I349" s="70">
        <v>10</v>
      </c>
      <c r="J349" s="70"/>
      <c r="K349" s="70"/>
      <c r="L349" s="70"/>
      <c r="M349" s="70">
        <f>7+23+4+14</f>
        <v>48</v>
      </c>
      <c r="N349" s="70"/>
      <c r="O349" s="70"/>
      <c r="P349" s="70">
        <f>30</f>
        <v>30</v>
      </c>
      <c r="Q349" s="70">
        <f>22</f>
        <v>22</v>
      </c>
      <c r="R349" s="70"/>
      <c r="S349" s="70"/>
      <c r="T349" s="70">
        <f>6</f>
        <v>6</v>
      </c>
      <c r="U349" s="70"/>
      <c r="V349" s="70">
        <f>38+5+11+10+12</f>
        <v>76</v>
      </c>
      <c r="W349" s="70"/>
      <c r="X349" s="70"/>
      <c r="Y349" s="70"/>
      <c r="Z349" s="70"/>
      <c r="AA349" s="70"/>
      <c r="AB349" s="70">
        <f>SUM(E349:AA349)</f>
        <v>329</v>
      </c>
      <c r="AC349" s="70">
        <f>AD349-AB349</f>
        <v>616</v>
      </c>
      <c r="AD349" s="70">
        <f>335+610</f>
        <v>945</v>
      </c>
      <c r="AE349" s="69">
        <f>(AB349/AD349)</f>
        <v>0.34814814814814815</v>
      </c>
      <c r="AF349" s="68" t="s">
        <v>71</v>
      </c>
    </row>
    <row r="350" spans="1:32" s="67" customFormat="1" ht="30" customHeight="1" x14ac:dyDescent="0.25">
      <c r="A350" s="71">
        <v>46158</v>
      </c>
      <c r="B350" s="70" t="s">
        <v>1</v>
      </c>
      <c r="C350" s="70" t="s">
        <v>8</v>
      </c>
      <c r="D350" s="70">
        <v>22</v>
      </c>
      <c r="E350" s="70">
        <v>50</v>
      </c>
      <c r="F350" s="70">
        <v>11</v>
      </c>
      <c r="G350" s="70">
        <v>10</v>
      </c>
      <c r="H350" s="70">
        <v>14</v>
      </c>
      <c r="I350" s="70"/>
      <c r="J350" s="70"/>
      <c r="K350" s="70"/>
      <c r="L350" s="70">
        <v>14</v>
      </c>
      <c r="M350" s="70">
        <f>20+22+27+15+3+3</f>
        <v>90</v>
      </c>
      <c r="N350" s="70"/>
      <c r="O350" s="70">
        <v>45</v>
      </c>
      <c r="P350" s="70">
        <v>11</v>
      </c>
      <c r="Q350" s="70"/>
      <c r="R350" s="70"/>
      <c r="S350" s="70"/>
      <c r="T350" s="70">
        <v>14</v>
      </c>
      <c r="U350" s="70"/>
      <c r="V350" s="70">
        <v>3</v>
      </c>
      <c r="W350" s="70"/>
      <c r="X350" s="70"/>
      <c r="Y350" s="70"/>
      <c r="Z350" s="70"/>
      <c r="AA350" s="70"/>
      <c r="AB350" s="70">
        <f>SUM(E350:AA350)</f>
        <v>262</v>
      </c>
      <c r="AC350" s="70">
        <f>AD350-AB350</f>
        <v>470</v>
      </c>
      <c r="AD350" s="70">
        <f>262+470</f>
        <v>732</v>
      </c>
      <c r="AE350" s="69">
        <f>(AB350/AD350)</f>
        <v>0.35792349726775957</v>
      </c>
      <c r="AF350" s="68" t="s">
        <v>71</v>
      </c>
    </row>
    <row r="351" spans="1:32" s="67" customFormat="1" ht="27.75" customHeight="1" x14ac:dyDescent="0.25">
      <c r="A351" s="71">
        <v>46158</v>
      </c>
      <c r="B351" s="70" t="s">
        <v>73</v>
      </c>
      <c r="C351" s="70" t="s">
        <v>7</v>
      </c>
      <c r="D351" s="70">
        <v>23</v>
      </c>
      <c r="E351" s="70">
        <v>15</v>
      </c>
      <c r="F351" s="70">
        <v>25</v>
      </c>
      <c r="G351" s="70"/>
      <c r="H351" s="70"/>
      <c r="I351" s="70"/>
      <c r="J351" s="70">
        <v>12</v>
      </c>
      <c r="K351" s="70">
        <v>2</v>
      </c>
      <c r="L351" s="70"/>
      <c r="M351" s="70">
        <v>20</v>
      </c>
      <c r="N351" s="70"/>
      <c r="O351" s="70"/>
      <c r="P351" s="70"/>
      <c r="Q351" s="70"/>
      <c r="R351" s="70"/>
      <c r="S351" s="70"/>
      <c r="T351" s="70"/>
      <c r="U351" s="70"/>
      <c r="V351" s="70">
        <v>35</v>
      </c>
      <c r="W351" s="70"/>
      <c r="X351" s="70"/>
      <c r="Y351" s="70"/>
      <c r="Z351" s="70"/>
      <c r="AA351" s="70"/>
      <c r="AB351" s="70">
        <f>SUM(E351:AA351)</f>
        <v>109</v>
      </c>
      <c r="AC351" s="70">
        <f>AD351-AB351</f>
        <v>150</v>
      </c>
      <c r="AD351" s="70">
        <f>109+150</f>
        <v>259</v>
      </c>
      <c r="AE351" s="69">
        <f>(AB351/AD351)</f>
        <v>0.42084942084942084</v>
      </c>
      <c r="AF351" s="68" t="s">
        <v>71</v>
      </c>
    </row>
    <row r="352" spans="1:32" s="67" customFormat="1" ht="30" customHeight="1" x14ac:dyDescent="0.25">
      <c r="A352" s="71">
        <v>46158</v>
      </c>
      <c r="B352" s="70" t="s">
        <v>1</v>
      </c>
      <c r="C352" s="70" t="s">
        <v>6</v>
      </c>
      <c r="D352" s="70">
        <v>24</v>
      </c>
      <c r="E352" s="70">
        <v>35</v>
      </c>
      <c r="F352" s="70"/>
      <c r="G352" s="70">
        <v>5</v>
      </c>
      <c r="H352" s="70"/>
      <c r="I352" s="70">
        <v>10</v>
      </c>
      <c r="J352" s="70"/>
      <c r="K352" s="70">
        <v>3</v>
      </c>
      <c r="L352" s="70"/>
      <c r="M352" s="70">
        <v>23</v>
      </c>
      <c r="N352" s="70"/>
      <c r="O352" s="70"/>
      <c r="P352" s="70">
        <v>15</v>
      </c>
      <c r="Q352" s="70">
        <v>12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>
        <f>SUM(E352:AA352)</f>
        <v>103</v>
      </c>
      <c r="AC352" s="70">
        <f>AD352-AB352</f>
        <v>645</v>
      </c>
      <c r="AD352" s="70">
        <f>103+645</f>
        <v>748</v>
      </c>
      <c r="AE352" s="69">
        <f>(AB352/AD352)</f>
        <v>0.13770053475935828</v>
      </c>
      <c r="AF352" s="68" t="s">
        <v>71</v>
      </c>
    </row>
    <row r="353" spans="1:32" s="67" customFormat="1" ht="30" customHeight="1" x14ac:dyDescent="0.25">
      <c r="A353" s="71">
        <v>46158</v>
      </c>
      <c r="B353" s="70" t="s">
        <v>5</v>
      </c>
      <c r="C353" s="70" t="s">
        <v>4</v>
      </c>
      <c r="D353" s="70">
        <v>25</v>
      </c>
      <c r="E353" s="70">
        <f>80+25+20+40+10+15+10</f>
        <v>200</v>
      </c>
      <c r="F353" s="70"/>
      <c r="G353" s="70"/>
      <c r="H353" s="70">
        <f>15+50+20+15</f>
        <v>100</v>
      </c>
      <c r="I353" s="70"/>
      <c r="J353" s="70"/>
      <c r="K353" s="70">
        <f>20+25</f>
        <v>45</v>
      </c>
      <c r="L353" s="70"/>
      <c r="M353" s="70">
        <f>40+60+10+5</f>
        <v>115</v>
      </c>
      <c r="N353" s="70"/>
      <c r="O353" s="70"/>
      <c r="P353" s="70">
        <f>5+10</f>
        <v>15</v>
      </c>
      <c r="Q353" s="70"/>
      <c r="R353" s="70"/>
      <c r="S353" s="70"/>
      <c r="T353" s="70"/>
      <c r="U353" s="70"/>
      <c r="V353" s="70">
        <f>35+40</f>
        <v>75</v>
      </c>
      <c r="W353" s="70"/>
      <c r="X353" s="70"/>
      <c r="Y353" s="70"/>
      <c r="Z353" s="70"/>
      <c r="AA353" s="70"/>
      <c r="AB353" s="70">
        <f>SUM(E353:AA353)</f>
        <v>550</v>
      </c>
      <c r="AC353" s="70">
        <f>AD353-AB353</f>
        <v>1270</v>
      </c>
      <c r="AD353" s="70">
        <f>550+1270</f>
        <v>1820</v>
      </c>
      <c r="AE353" s="69">
        <f>(AB353/AD353)</f>
        <v>0.30219780219780218</v>
      </c>
      <c r="AF353" s="68" t="s">
        <v>74</v>
      </c>
    </row>
    <row r="354" spans="1:32" s="67" customFormat="1" ht="30" customHeight="1" x14ac:dyDescent="0.25">
      <c r="A354" s="71">
        <v>46158</v>
      </c>
      <c r="B354" s="70" t="s">
        <v>1</v>
      </c>
      <c r="C354" s="70" t="s">
        <v>3</v>
      </c>
      <c r="D354" s="70">
        <v>26</v>
      </c>
      <c r="E354" s="70">
        <v>13</v>
      </c>
      <c r="F354" s="70">
        <v>7</v>
      </c>
      <c r="G354" s="70"/>
      <c r="H354" s="70">
        <v>12</v>
      </c>
      <c r="I354" s="70"/>
      <c r="J354" s="70"/>
      <c r="K354" s="70"/>
      <c r="L354" s="70"/>
      <c r="M354" s="70">
        <v>43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>
        <f>SUM(E354:AA354)</f>
        <v>75</v>
      </c>
      <c r="AC354" s="70">
        <f>AD354-AB354</f>
        <v>135</v>
      </c>
      <c r="AD354" s="70">
        <f>75+135</f>
        <v>210</v>
      </c>
      <c r="AE354" s="69">
        <f>(AB354/AD354)</f>
        <v>0.35714285714285715</v>
      </c>
      <c r="AF354" s="68" t="s">
        <v>71</v>
      </c>
    </row>
    <row r="355" spans="1:32" s="67" customFormat="1" ht="30" customHeight="1" x14ac:dyDescent="0.25">
      <c r="A355" s="71">
        <v>46158</v>
      </c>
      <c r="B355" s="70" t="s">
        <v>1</v>
      </c>
      <c r="C355" s="70" t="s">
        <v>2</v>
      </c>
      <c r="D355" s="70">
        <v>27</v>
      </c>
      <c r="E355" s="70">
        <v>195</v>
      </c>
      <c r="F355" s="70">
        <v>15</v>
      </c>
      <c r="G355" s="70">
        <v>27</v>
      </c>
      <c r="H355" s="70">
        <v>40</v>
      </c>
      <c r="I355" s="70"/>
      <c r="J355" s="70"/>
      <c r="K355" s="70">
        <v>8</v>
      </c>
      <c r="L355" s="70"/>
      <c r="M355" s="70">
        <v>5</v>
      </c>
      <c r="N355" s="70"/>
      <c r="O355" s="70"/>
      <c r="P355" s="70">
        <v>35</v>
      </c>
      <c r="Q355" s="70"/>
      <c r="R355" s="70"/>
      <c r="S355" s="70"/>
      <c r="T355" s="70">
        <f>40</f>
        <v>40</v>
      </c>
      <c r="U355" s="70"/>
      <c r="V355" s="70">
        <f>55+10</f>
        <v>65</v>
      </c>
      <c r="W355" s="70">
        <v>5</v>
      </c>
      <c r="X355" s="70"/>
      <c r="Y355" s="70"/>
      <c r="Z355" s="70"/>
      <c r="AA355" s="70"/>
      <c r="AB355" s="70">
        <f>SUM(E355:AA355)</f>
        <v>435</v>
      </c>
      <c r="AC355" s="70">
        <f>AD355-AB355</f>
        <v>800</v>
      </c>
      <c r="AD355" s="70">
        <f>435+800</f>
        <v>1235</v>
      </c>
      <c r="AE355" s="69">
        <f>(AB355/AD355)</f>
        <v>0.35222672064777327</v>
      </c>
      <c r="AF355" s="68" t="s">
        <v>71</v>
      </c>
    </row>
    <row r="356" spans="1:32" s="67" customFormat="1" ht="30" customHeight="1" x14ac:dyDescent="0.25">
      <c r="A356" s="71">
        <v>46158</v>
      </c>
      <c r="B356" s="70" t="s">
        <v>1</v>
      </c>
      <c r="C356" s="70" t="s">
        <v>0</v>
      </c>
      <c r="D356" s="70">
        <v>28</v>
      </c>
      <c r="E356" s="70"/>
      <c r="F356" s="70">
        <v>31</v>
      </c>
      <c r="G356" s="70">
        <v>15</v>
      </c>
      <c r="H356" s="70">
        <v>10</v>
      </c>
      <c r="I356" s="70">
        <v>8</v>
      </c>
      <c r="J356" s="70"/>
      <c r="K356" s="70"/>
      <c r="L356" s="70"/>
      <c r="M356" s="70">
        <v>15</v>
      </c>
      <c r="N356" s="70"/>
      <c r="O356" s="70"/>
      <c r="P356" s="70">
        <v>8</v>
      </c>
      <c r="Q356" s="70"/>
      <c r="R356" s="70"/>
      <c r="S356" s="70"/>
      <c r="T356" s="70"/>
      <c r="U356" s="70"/>
      <c r="V356" s="70">
        <v>10</v>
      </c>
      <c r="W356" s="70"/>
      <c r="X356" s="70"/>
      <c r="Y356" s="70"/>
      <c r="Z356" s="70"/>
      <c r="AA356" s="70"/>
      <c r="AB356" s="70">
        <f>SUM(E356:AA356)</f>
        <v>97</v>
      </c>
      <c r="AC356" s="70">
        <f>AD356-AB356</f>
        <v>300</v>
      </c>
      <c r="AD356" s="70">
        <f>97+300</f>
        <v>397</v>
      </c>
      <c r="AE356" s="69">
        <f>(AB356/AD356)</f>
        <v>0.24433249370277077</v>
      </c>
      <c r="AF356" s="68" t="s">
        <v>71</v>
      </c>
    </row>
    <row r="357" spans="1:32" s="72" customFormat="1" ht="30" customHeight="1" x14ac:dyDescent="0.25">
      <c r="A357" s="76">
        <v>46160</v>
      </c>
      <c r="B357" s="75" t="s">
        <v>1</v>
      </c>
      <c r="C357" s="75" t="s">
        <v>3</v>
      </c>
      <c r="D357" s="75">
        <v>1</v>
      </c>
      <c r="E357" s="75">
        <v>42</v>
      </c>
      <c r="F357" s="75">
        <v>22</v>
      </c>
      <c r="G357" s="75"/>
      <c r="H357" s="75">
        <v>5</v>
      </c>
      <c r="I357" s="75"/>
      <c r="J357" s="75"/>
      <c r="K357" s="75">
        <v>12</v>
      </c>
      <c r="L357" s="75"/>
      <c r="M357" s="75">
        <v>63</v>
      </c>
      <c r="N357" s="75"/>
      <c r="O357" s="75"/>
      <c r="P357" s="75">
        <v>8</v>
      </c>
      <c r="Q357" s="75"/>
      <c r="R357" s="75"/>
      <c r="S357" s="75"/>
      <c r="T357" s="75">
        <v>10</v>
      </c>
      <c r="U357" s="75"/>
      <c r="V357" s="75">
        <f>18+5</f>
        <v>23</v>
      </c>
      <c r="W357" s="75"/>
      <c r="X357" s="75"/>
      <c r="Y357" s="75"/>
      <c r="Z357" s="75"/>
      <c r="AA357" s="75"/>
      <c r="AB357" s="75">
        <f>SUM(E357:AA357)</f>
        <v>185</v>
      </c>
      <c r="AC357" s="75">
        <f>AD357-AB357</f>
        <v>259</v>
      </c>
      <c r="AD357" s="75">
        <f>185+259</f>
        <v>444</v>
      </c>
      <c r="AE357" s="74">
        <f>(AB357/AD357)</f>
        <v>0.41666666666666669</v>
      </c>
      <c r="AF357" s="73" t="s">
        <v>71</v>
      </c>
    </row>
    <row r="358" spans="1:32" s="67" customFormat="1" ht="30" customHeight="1" x14ac:dyDescent="0.25">
      <c r="A358" s="71">
        <v>46160</v>
      </c>
      <c r="B358" s="70" t="s">
        <v>78</v>
      </c>
      <c r="C358" s="70" t="s">
        <v>80</v>
      </c>
      <c r="D358" s="70">
        <v>2</v>
      </c>
      <c r="E358" s="70">
        <v>201</v>
      </c>
      <c r="F358" s="70">
        <v>19</v>
      </c>
      <c r="G358" s="70">
        <v>28</v>
      </c>
      <c r="H358" s="70"/>
      <c r="I358" s="70">
        <v>40</v>
      </c>
      <c r="J358" s="70"/>
      <c r="K358" s="70">
        <v>76</v>
      </c>
      <c r="L358" s="70"/>
      <c r="M358" s="70">
        <v>74</v>
      </c>
      <c r="N358" s="70"/>
      <c r="O358" s="70">
        <v>24</v>
      </c>
      <c r="P358" s="70">
        <v>24</v>
      </c>
      <c r="Q358" s="70"/>
      <c r="R358" s="70">
        <v>36</v>
      </c>
      <c r="S358" s="70"/>
      <c r="T358" s="70">
        <v>20</v>
      </c>
      <c r="U358" s="70"/>
      <c r="V358" s="70">
        <f>114+69+15</f>
        <v>198</v>
      </c>
      <c r="W358" s="70"/>
      <c r="X358" s="70"/>
      <c r="Y358" s="70"/>
      <c r="Z358" s="70"/>
      <c r="AA358" s="70"/>
      <c r="AB358" s="70">
        <f>SUM(E358:AA358)</f>
        <v>740</v>
      </c>
      <c r="AC358" s="70">
        <f>AD358-AB358</f>
        <v>1360</v>
      </c>
      <c r="AD358" s="70">
        <f>740+1360</f>
        <v>2100</v>
      </c>
      <c r="AE358" s="69">
        <f>(AB358/AD358)</f>
        <v>0.35238095238095241</v>
      </c>
      <c r="AF358" s="68" t="s">
        <v>71</v>
      </c>
    </row>
    <row r="359" spans="1:32" s="67" customFormat="1" ht="30" customHeight="1" x14ac:dyDescent="0.25">
      <c r="A359" s="71">
        <v>46160</v>
      </c>
      <c r="B359" s="70" t="s">
        <v>78</v>
      </c>
      <c r="C359" s="70" t="s">
        <v>79</v>
      </c>
      <c r="D359" s="70">
        <v>3</v>
      </c>
      <c r="E359" s="70">
        <v>20</v>
      </c>
      <c r="F359" s="70">
        <v>26</v>
      </c>
      <c r="G359" s="70">
        <v>12</v>
      </c>
      <c r="H359" s="70">
        <v>10</v>
      </c>
      <c r="I359" s="70"/>
      <c r="J359" s="70"/>
      <c r="K359" s="70">
        <v>8</v>
      </c>
      <c r="L359" s="70"/>
      <c r="M359" s="70"/>
      <c r="N359" s="70">
        <v>4</v>
      </c>
      <c r="O359" s="70"/>
      <c r="P359" s="70">
        <v>35</v>
      </c>
      <c r="Q359" s="70"/>
      <c r="R359" s="70">
        <v>3</v>
      </c>
      <c r="S359" s="70"/>
      <c r="T359" s="70">
        <v>5</v>
      </c>
      <c r="U359" s="70"/>
      <c r="V359" s="70">
        <f>33+27+4</f>
        <v>64</v>
      </c>
      <c r="W359" s="70"/>
      <c r="X359" s="70"/>
      <c r="Y359" s="70">
        <v>8</v>
      </c>
      <c r="Z359" s="70"/>
      <c r="AA359" s="70"/>
      <c r="AB359" s="70">
        <f>SUM(E359:AA359)</f>
        <v>195</v>
      </c>
      <c r="AC359" s="70">
        <f>AD359-AB359</f>
        <v>255</v>
      </c>
      <c r="AD359" s="70">
        <f>195+255</f>
        <v>450</v>
      </c>
      <c r="AE359" s="69">
        <f>(AB359/AD359)</f>
        <v>0.43333333333333335</v>
      </c>
      <c r="AF359" s="68" t="s">
        <v>71</v>
      </c>
    </row>
    <row r="360" spans="1:32" s="67" customFormat="1" ht="30" customHeight="1" x14ac:dyDescent="0.25">
      <c r="A360" s="71">
        <v>46160</v>
      </c>
      <c r="B360" s="70" t="s">
        <v>1</v>
      </c>
      <c r="C360" s="70" t="s">
        <v>16</v>
      </c>
      <c r="D360" s="70">
        <v>4</v>
      </c>
      <c r="E360" s="70">
        <v>195</v>
      </c>
      <c r="F360" s="70">
        <v>43</v>
      </c>
      <c r="G360" s="70"/>
      <c r="H360" s="70"/>
      <c r="I360" s="70"/>
      <c r="J360" s="70"/>
      <c r="K360" s="70"/>
      <c r="L360" s="70"/>
      <c r="M360" s="70">
        <v>168</v>
      </c>
      <c r="N360" s="70">
        <v>10</v>
      </c>
      <c r="O360" s="70"/>
      <c r="P360" s="70">
        <v>75</v>
      </c>
      <c r="Q360" s="70"/>
      <c r="R360" s="70">
        <v>135</v>
      </c>
      <c r="S360" s="70"/>
      <c r="T360" s="70">
        <v>10</v>
      </c>
      <c r="U360" s="70"/>
      <c r="V360" s="70">
        <f>131+10+45</f>
        <v>186</v>
      </c>
      <c r="W360" s="70"/>
      <c r="X360" s="70"/>
      <c r="Y360" s="70"/>
      <c r="Z360" s="70"/>
      <c r="AA360" s="70">
        <v>35</v>
      </c>
      <c r="AB360" s="70">
        <f>SUM(E360:AA360)</f>
        <v>857</v>
      </c>
      <c r="AC360" s="70">
        <f>AD360-AB360</f>
        <v>1744</v>
      </c>
      <c r="AD360" s="70">
        <f>857+1744</f>
        <v>2601</v>
      </c>
      <c r="AE360" s="69">
        <f>(AB360/AD360)</f>
        <v>0.32948865820838141</v>
      </c>
      <c r="AF360" s="68" t="s">
        <v>71</v>
      </c>
    </row>
    <row r="361" spans="1:32" s="67" customFormat="1" ht="30" customHeight="1" x14ac:dyDescent="0.25">
      <c r="A361" s="71">
        <v>46160</v>
      </c>
      <c r="B361" s="70" t="s">
        <v>1</v>
      </c>
      <c r="C361" s="70" t="s">
        <v>16</v>
      </c>
      <c r="D361" s="70">
        <v>5</v>
      </c>
      <c r="E361" s="70">
        <v>235</v>
      </c>
      <c r="F361" s="70">
        <v>177</v>
      </c>
      <c r="G361" s="70">
        <v>15</v>
      </c>
      <c r="H361" s="70">
        <v>25</v>
      </c>
      <c r="I361" s="70">
        <v>10</v>
      </c>
      <c r="J361" s="70"/>
      <c r="K361" s="70"/>
      <c r="L361" s="70"/>
      <c r="M361" s="70">
        <v>347</v>
      </c>
      <c r="N361" s="70"/>
      <c r="O361" s="70"/>
      <c r="P361" s="70">
        <v>288</v>
      </c>
      <c r="Q361" s="70"/>
      <c r="R361" s="70">
        <v>68</v>
      </c>
      <c r="S361" s="70"/>
      <c r="T361" s="70"/>
      <c r="U361" s="70"/>
      <c r="V361" s="70">
        <v>169</v>
      </c>
      <c r="W361" s="70"/>
      <c r="X361" s="70"/>
      <c r="Y361" s="70"/>
      <c r="Z361" s="70"/>
      <c r="AA361" s="70"/>
      <c r="AB361" s="70">
        <f>SUM(E361:AA361)</f>
        <v>1334</v>
      </c>
      <c r="AC361" s="70">
        <f>AD361-AB361</f>
        <v>1728</v>
      </c>
      <c r="AD361" s="70">
        <f>1334+1728</f>
        <v>3062</v>
      </c>
      <c r="AE361" s="69">
        <f>(AB361/AD361)</f>
        <v>0.4356629653821032</v>
      </c>
      <c r="AF361" s="68" t="s">
        <v>71</v>
      </c>
    </row>
    <row r="362" spans="1:32" s="67" customFormat="1" ht="30" customHeight="1" x14ac:dyDescent="0.25">
      <c r="A362" s="71">
        <v>46160</v>
      </c>
      <c r="B362" s="70" t="s">
        <v>1</v>
      </c>
      <c r="C362" s="70" t="s">
        <v>15</v>
      </c>
      <c r="D362" s="70">
        <v>6</v>
      </c>
      <c r="E362" s="70">
        <v>183</v>
      </c>
      <c r="F362" s="70">
        <v>18</v>
      </c>
      <c r="G362" s="70">
        <v>50</v>
      </c>
      <c r="H362" s="70">
        <v>127</v>
      </c>
      <c r="I362" s="70"/>
      <c r="J362" s="70">
        <v>5</v>
      </c>
      <c r="K362" s="70">
        <v>18</v>
      </c>
      <c r="L362" s="70"/>
      <c r="M362" s="70">
        <v>75</v>
      </c>
      <c r="N362" s="70">
        <v>25</v>
      </c>
      <c r="O362" s="70"/>
      <c r="P362" s="70">
        <v>144</v>
      </c>
      <c r="Q362" s="70"/>
      <c r="R362" s="70">
        <v>30</v>
      </c>
      <c r="S362" s="70">
        <v>15</v>
      </c>
      <c r="T362" s="70">
        <v>43</v>
      </c>
      <c r="U362" s="70"/>
      <c r="V362" s="70">
        <f>89+10+10</f>
        <v>109</v>
      </c>
      <c r="W362" s="70"/>
      <c r="X362" s="70"/>
      <c r="Y362" s="70"/>
      <c r="Z362" s="70"/>
      <c r="AA362" s="70">
        <v>5</v>
      </c>
      <c r="AB362" s="70">
        <f>SUM(E362:AA362)</f>
        <v>847</v>
      </c>
      <c r="AC362" s="70">
        <f>AD362-AB362</f>
        <v>1296</v>
      </c>
      <c r="AD362" s="70">
        <f>847+1296</f>
        <v>2143</v>
      </c>
      <c r="AE362" s="69">
        <f>(AB362/AD362)</f>
        <v>0.39524031731217918</v>
      </c>
      <c r="AF362" s="68" t="s">
        <v>71</v>
      </c>
    </row>
    <row r="363" spans="1:32" s="67" customFormat="1" ht="30" customHeight="1" x14ac:dyDescent="0.25">
      <c r="A363" s="71">
        <v>46160</v>
      </c>
      <c r="B363" s="70" t="s">
        <v>1</v>
      </c>
      <c r="C363" s="70" t="s">
        <v>14</v>
      </c>
      <c r="D363" s="70">
        <v>7</v>
      </c>
      <c r="E363" s="70">
        <v>207</v>
      </c>
      <c r="F363" s="70">
        <v>5</v>
      </c>
      <c r="G363" s="70">
        <v>25</v>
      </c>
      <c r="H363" s="70">
        <v>40</v>
      </c>
      <c r="I363" s="70"/>
      <c r="J363" s="70"/>
      <c r="K363" s="70"/>
      <c r="L363" s="70"/>
      <c r="M363" s="70">
        <v>15</v>
      </c>
      <c r="N363" s="70"/>
      <c r="O363" s="70">
        <v>65</v>
      </c>
      <c r="P363" s="70">
        <v>30</v>
      </c>
      <c r="Q363" s="70">
        <v>7</v>
      </c>
      <c r="R363" s="70"/>
      <c r="S363" s="70"/>
      <c r="T363" s="70"/>
      <c r="U363" s="70"/>
      <c r="V363" s="70">
        <f>20+15</f>
        <v>35</v>
      </c>
      <c r="W363" s="70"/>
      <c r="X363" s="70"/>
      <c r="Y363" s="70"/>
      <c r="Z363" s="70"/>
      <c r="AA363" s="70"/>
      <c r="AB363" s="70">
        <f>SUM(E363:AA363)</f>
        <v>429</v>
      </c>
      <c r="AC363" s="70">
        <f>AD363-AB363</f>
        <v>980</v>
      </c>
      <c r="AD363" s="70">
        <f>429+980</f>
        <v>1409</v>
      </c>
      <c r="AE363" s="69">
        <f>(AB363/AD363)</f>
        <v>0.30447125621007809</v>
      </c>
      <c r="AF363" s="68" t="s">
        <v>71</v>
      </c>
    </row>
    <row r="364" spans="1:32" s="67" customFormat="1" ht="30" customHeight="1" x14ac:dyDescent="0.25">
      <c r="A364" s="71">
        <v>46160</v>
      </c>
      <c r="B364" s="70" t="s">
        <v>78</v>
      </c>
      <c r="C364" s="70" t="s">
        <v>77</v>
      </c>
      <c r="D364" s="70">
        <v>8</v>
      </c>
      <c r="E364" s="70">
        <v>122</v>
      </c>
      <c r="F364" s="70">
        <v>43</v>
      </c>
      <c r="G364" s="70">
        <v>33</v>
      </c>
      <c r="H364" s="70">
        <v>46</v>
      </c>
      <c r="I364" s="70"/>
      <c r="J364" s="70"/>
      <c r="K364" s="70"/>
      <c r="L364" s="70"/>
      <c r="M364" s="70">
        <v>90</v>
      </c>
      <c r="N364" s="70">
        <v>5</v>
      </c>
      <c r="O364" s="70">
        <v>13</v>
      </c>
      <c r="P364" s="70">
        <v>65</v>
      </c>
      <c r="Q364" s="70">
        <v>20</v>
      </c>
      <c r="R364" s="70"/>
      <c r="S364" s="70"/>
      <c r="T364" s="70">
        <v>40</v>
      </c>
      <c r="U364" s="70"/>
      <c r="V364" s="70">
        <v>163</v>
      </c>
      <c r="W364" s="70"/>
      <c r="X364" s="70"/>
      <c r="Y364" s="70">
        <v>12</v>
      </c>
      <c r="Z364" s="70"/>
      <c r="AA364" s="70"/>
      <c r="AB364" s="70">
        <f>SUM(E364:AA364)</f>
        <v>652</v>
      </c>
      <c r="AC364" s="70">
        <f>AD364-AB364</f>
        <v>1008</v>
      </c>
      <c r="AD364" s="70">
        <f>652+1008</f>
        <v>1660</v>
      </c>
      <c r="AE364" s="69">
        <f>(AB364/AD364)</f>
        <v>0.39277108433734942</v>
      </c>
      <c r="AF364" s="68" t="s">
        <v>71</v>
      </c>
    </row>
    <row r="365" spans="1:32" s="67" customFormat="1" ht="30" customHeight="1" x14ac:dyDescent="0.25">
      <c r="A365" s="71">
        <v>46160</v>
      </c>
      <c r="B365" s="70" t="s">
        <v>1</v>
      </c>
      <c r="C365" s="70" t="s">
        <v>12</v>
      </c>
      <c r="D365" s="70">
        <v>9</v>
      </c>
      <c r="E365" s="70">
        <v>177</v>
      </c>
      <c r="F365" s="70">
        <v>30</v>
      </c>
      <c r="G365" s="70">
        <v>19</v>
      </c>
      <c r="H365" s="70">
        <v>65</v>
      </c>
      <c r="I365" s="70">
        <v>24</v>
      </c>
      <c r="J365" s="70">
        <v>45</v>
      </c>
      <c r="K365" s="70"/>
      <c r="L365" s="70"/>
      <c r="M365" s="70">
        <v>70</v>
      </c>
      <c r="N365" s="70">
        <v>12</v>
      </c>
      <c r="O365" s="70"/>
      <c r="P365" s="70">
        <v>17</v>
      </c>
      <c r="Q365" s="70"/>
      <c r="R365" s="70"/>
      <c r="S365" s="70">
        <v>50</v>
      </c>
      <c r="T365" s="70">
        <v>31</v>
      </c>
      <c r="U365" s="70"/>
      <c r="V365" s="70">
        <f>55+20</f>
        <v>75</v>
      </c>
      <c r="W365" s="70"/>
      <c r="X365" s="70"/>
      <c r="Y365" s="70"/>
      <c r="Z365" s="70"/>
      <c r="AA365" s="70"/>
      <c r="AB365" s="70">
        <f>SUM(E365:AA365)</f>
        <v>615</v>
      </c>
      <c r="AC365" s="70">
        <f>AD365-AB365</f>
        <v>1484</v>
      </c>
      <c r="AD365" s="70">
        <f>615+1484</f>
        <v>2099</v>
      </c>
      <c r="AE365" s="69">
        <f>(AB365/AD365)</f>
        <v>0.29299666507860889</v>
      </c>
      <c r="AF365" s="68" t="s">
        <v>71</v>
      </c>
    </row>
    <row r="366" spans="1:32" s="67" customFormat="1" ht="30" customHeight="1" x14ac:dyDescent="0.25">
      <c r="A366" s="71">
        <v>46160</v>
      </c>
      <c r="B366" s="70" t="s">
        <v>1</v>
      </c>
      <c r="C366" s="70" t="s">
        <v>0</v>
      </c>
      <c r="D366" s="70">
        <v>10</v>
      </c>
      <c r="E366" s="70">
        <f>14+30+14</f>
        <v>58</v>
      </c>
      <c r="F366" s="70">
        <v>2</v>
      </c>
      <c r="G366" s="70">
        <f>10+21</f>
        <v>31</v>
      </c>
      <c r="H366" s="70">
        <f>2</f>
        <v>2</v>
      </c>
      <c r="I366" s="70"/>
      <c r="J366" s="70">
        <f>10+6</f>
        <v>16</v>
      </c>
      <c r="K366" s="70"/>
      <c r="L366" s="70">
        <f>11+8</f>
        <v>19</v>
      </c>
      <c r="M366" s="70">
        <f>4</f>
        <v>4</v>
      </c>
      <c r="N366" s="70"/>
      <c r="O366" s="70"/>
      <c r="P366" s="70">
        <f>5</f>
        <v>5</v>
      </c>
      <c r="Q366" s="70"/>
      <c r="R366" s="70"/>
      <c r="S366" s="70">
        <f>15</f>
        <v>15</v>
      </c>
      <c r="T366" s="70"/>
      <c r="U366" s="70"/>
      <c r="V366" s="70">
        <f>10+23+21+3+10</f>
        <v>67</v>
      </c>
      <c r="W366" s="70"/>
      <c r="X366" s="70"/>
      <c r="Y366" s="70"/>
      <c r="Z366" s="70"/>
      <c r="AA366" s="70"/>
      <c r="AB366" s="70">
        <f>SUM(E366:AA366)</f>
        <v>219</v>
      </c>
      <c r="AC366" s="70">
        <f>AD366-AB366</f>
        <v>480</v>
      </c>
      <c r="AD366" s="70">
        <f>219+480</f>
        <v>699</v>
      </c>
      <c r="AE366" s="69">
        <f>(AB366/AD366)</f>
        <v>0.31330472103004292</v>
      </c>
      <c r="AF366" s="68" t="s">
        <v>71</v>
      </c>
    </row>
    <row r="367" spans="1:32" s="67" customFormat="1" ht="30" customHeight="1" x14ac:dyDescent="0.25">
      <c r="A367" s="71">
        <v>46160</v>
      </c>
      <c r="B367" s="70" t="s">
        <v>1</v>
      </c>
      <c r="C367" s="70" t="s">
        <v>10</v>
      </c>
      <c r="D367" s="70">
        <v>11</v>
      </c>
      <c r="E367" s="70">
        <v>78</v>
      </c>
      <c r="F367" s="70">
        <v>31</v>
      </c>
      <c r="G367" s="70"/>
      <c r="H367" s="70">
        <v>11</v>
      </c>
      <c r="I367" s="70"/>
      <c r="J367" s="70">
        <v>20</v>
      </c>
      <c r="K367" s="70">
        <v>15</v>
      </c>
      <c r="L367" s="70"/>
      <c r="M367" s="70">
        <v>37</v>
      </c>
      <c r="N367" s="70"/>
      <c r="O367" s="70"/>
      <c r="P367" s="70">
        <v>28</v>
      </c>
      <c r="Q367" s="70"/>
      <c r="R367" s="70"/>
      <c r="S367" s="70"/>
      <c r="T367" s="70">
        <v>18</v>
      </c>
      <c r="U367" s="70"/>
      <c r="V367" s="70">
        <f>26+25</f>
        <v>51</v>
      </c>
      <c r="W367" s="70"/>
      <c r="X367" s="70"/>
      <c r="Y367" s="70"/>
      <c r="Z367" s="70"/>
      <c r="AA367" s="70">
        <v>18</v>
      </c>
      <c r="AB367" s="70">
        <f>SUM(E367:AA367)</f>
        <v>307</v>
      </c>
      <c r="AC367" s="70">
        <f>AD367-AB367</f>
        <v>880</v>
      </c>
      <c r="AD367" s="70">
        <f>307+880</f>
        <v>1187</v>
      </c>
      <c r="AE367" s="69">
        <f>(AB367/AD367)</f>
        <v>0.25863521482729568</v>
      </c>
      <c r="AF367" s="68" t="s">
        <v>71</v>
      </c>
    </row>
    <row r="368" spans="1:32" s="67" customFormat="1" ht="30" customHeight="1" x14ac:dyDescent="0.25">
      <c r="A368" s="71">
        <v>46160</v>
      </c>
      <c r="B368" s="70" t="s">
        <v>1</v>
      </c>
      <c r="C368" s="70" t="s">
        <v>11</v>
      </c>
      <c r="D368" s="70">
        <v>13</v>
      </c>
      <c r="E368" s="70">
        <v>25</v>
      </c>
      <c r="F368" s="70"/>
      <c r="G368" s="70"/>
      <c r="H368" s="70"/>
      <c r="I368" s="70"/>
      <c r="J368" s="70">
        <v>16</v>
      </c>
      <c r="K368" s="70">
        <v>8</v>
      </c>
      <c r="L368" s="70"/>
      <c r="M368" s="70">
        <v>30</v>
      </c>
      <c r="N368" s="70"/>
      <c r="O368" s="70"/>
      <c r="P368" s="70">
        <v>10</v>
      </c>
      <c r="Q368" s="70"/>
      <c r="R368" s="70"/>
      <c r="S368" s="70"/>
      <c r="T368" s="70">
        <v>2</v>
      </c>
      <c r="U368" s="70"/>
      <c r="V368" s="70">
        <f>32+2</f>
        <v>34</v>
      </c>
      <c r="W368" s="70"/>
      <c r="X368" s="70"/>
      <c r="Y368" s="70"/>
      <c r="Z368" s="70"/>
      <c r="AA368" s="70"/>
      <c r="AB368" s="70">
        <f>SUM(E368:AA368)</f>
        <v>125</v>
      </c>
      <c r="AC368" s="70">
        <f>AD368-AB368</f>
        <v>200</v>
      </c>
      <c r="AD368" s="70">
        <f>125+200</f>
        <v>325</v>
      </c>
      <c r="AE368" s="69">
        <f>(AB368/AD368)</f>
        <v>0.38461538461538464</v>
      </c>
      <c r="AF368" s="68" t="s">
        <v>71</v>
      </c>
    </row>
    <row r="369" spans="1:32" s="67" customFormat="1" ht="30" customHeight="1" x14ac:dyDescent="0.25">
      <c r="A369" s="71">
        <v>46160</v>
      </c>
      <c r="B369" s="70" t="s">
        <v>1</v>
      </c>
      <c r="C369" s="70" t="s">
        <v>8</v>
      </c>
      <c r="D369" s="70">
        <v>14</v>
      </c>
      <c r="E369" s="70">
        <v>16</v>
      </c>
      <c r="F369" s="70">
        <v>22</v>
      </c>
      <c r="G369" s="70"/>
      <c r="H369" s="70"/>
      <c r="I369" s="70"/>
      <c r="J369" s="70"/>
      <c r="K369" s="70">
        <v>8</v>
      </c>
      <c r="L369" s="70">
        <v>24</v>
      </c>
      <c r="M369" s="70">
        <v>90</v>
      </c>
      <c r="N369" s="70"/>
      <c r="O369" s="70">
        <v>24</v>
      </c>
      <c r="P369" s="70">
        <v>11</v>
      </c>
      <c r="Q369" s="70"/>
      <c r="R369" s="70"/>
      <c r="S369" s="70"/>
      <c r="T369" s="70">
        <v>14</v>
      </c>
      <c r="U369" s="70"/>
      <c r="V369" s="70">
        <f>7+8</f>
        <v>15</v>
      </c>
      <c r="W369" s="70"/>
      <c r="X369" s="70"/>
      <c r="Y369" s="70"/>
      <c r="Z369" s="70"/>
      <c r="AA369" s="70">
        <f>11+10</f>
        <v>21</v>
      </c>
      <c r="AB369" s="70">
        <f>SUM(E369:AA369)</f>
        <v>245</v>
      </c>
      <c r="AC369" s="70">
        <f>AD369-AB369</f>
        <v>720</v>
      </c>
      <c r="AD369" s="70">
        <f>245+720</f>
        <v>965</v>
      </c>
      <c r="AE369" s="69">
        <f>(AB369/AD369)</f>
        <v>0.25388601036269431</v>
      </c>
      <c r="AF369" s="68" t="s">
        <v>71</v>
      </c>
    </row>
    <row r="370" spans="1:32" s="67" customFormat="1" ht="30" customHeight="1" x14ac:dyDescent="0.25">
      <c r="A370" s="71">
        <v>46160</v>
      </c>
      <c r="B370" s="70" t="s">
        <v>73</v>
      </c>
      <c r="C370" s="70" t="s">
        <v>7</v>
      </c>
      <c r="D370" s="70">
        <v>15</v>
      </c>
      <c r="E370" s="70">
        <v>3</v>
      </c>
      <c r="F370" s="70">
        <v>41</v>
      </c>
      <c r="G370" s="70"/>
      <c r="H370" s="70"/>
      <c r="I370" s="70"/>
      <c r="J370" s="70"/>
      <c r="K370" s="70">
        <v>13</v>
      </c>
      <c r="L370" s="70">
        <v>24</v>
      </c>
      <c r="M370" s="70">
        <v>88</v>
      </c>
      <c r="N370" s="70"/>
      <c r="O370" s="70"/>
      <c r="P370" s="70"/>
      <c r="Q370" s="70"/>
      <c r="R370" s="70"/>
      <c r="S370" s="70"/>
      <c r="T370" s="70">
        <v>4</v>
      </c>
      <c r="U370" s="70"/>
      <c r="V370" s="70">
        <v>23</v>
      </c>
      <c r="W370" s="70"/>
      <c r="X370" s="70"/>
      <c r="Y370" s="70"/>
      <c r="Z370" s="70"/>
      <c r="AA370" s="70"/>
      <c r="AB370" s="70">
        <f>SUM(E370:AA370)</f>
        <v>196</v>
      </c>
      <c r="AC370" s="70">
        <f>AD370-AB370</f>
        <v>336</v>
      </c>
      <c r="AD370" s="70">
        <f>196+336</f>
        <v>532</v>
      </c>
      <c r="AE370" s="69">
        <f>(AB370/AD370)</f>
        <v>0.36842105263157893</v>
      </c>
      <c r="AF370" s="68" t="s">
        <v>71</v>
      </c>
    </row>
    <row r="371" spans="1:32" s="67" customFormat="1" ht="30" customHeight="1" x14ac:dyDescent="0.25">
      <c r="A371" s="71">
        <v>46160</v>
      </c>
      <c r="B371" s="70" t="s">
        <v>1</v>
      </c>
      <c r="C371" s="70" t="s">
        <v>10</v>
      </c>
      <c r="D371" s="70">
        <v>16</v>
      </c>
      <c r="E371" s="70">
        <v>106</v>
      </c>
      <c r="F371" s="70">
        <v>38</v>
      </c>
      <c r="G371" s="70">
        <v>26</v>
      </c>
      <c r="H371" s="70">
        <v>7</v>
      </c>
      <c r="I371" s="70"/>
      <c r="J371" s="70"/>
      <c r="K371" s="70">
        <v>6</v>
      </c>
      <c r="L371" s="70"/>
      <c r="M371" s="70">
        <v>115</v>
      </c>
      <c r="N371" s="70"/>
      <c r="O371" s="70">
        <v>8</v>
      </c>
      <c r="P371" s="70">
        <v>51</v>
      </c>
      <c r="Q371" s="70"/>
      <c r="R371" s="70"/>
      <c r="S371" s="70"/>
      <c r="T371" s="70">
        <v>22</v>
      </c>
      <c r="U371" s="70"/>
      <c r="V371" s="70">
        <f>27+7</f>
        <v>34</v>
      </c>
      <c r="W371" s="70"/>
      <c r="X371" s="70"/>
      <c r="Y371" s="70"/>
      <c r="Z371" s="70"/>
      <c r="AA371" s="70">
        <f>12+15</f>
        <v>27</v>
      </c>
      <c r="AB371" s="70">
        <f>SUM(E371:AA371)</f>
        <v>440</v>
      </c>
      <c r="AC371" s="70">
        <f>AD371-AB371</f>
        <v>880</v>
      </c>
      <c r="AD371" s="70">
        <f>440+880</f>
        <v>1320</v>
      </c>
      <c r="AE371" s="69">
        <f>(AB371/AD371)</f>
        <v>0.33333333333333331</v>
      </c>
      <c r="AF371" s="68" t="s">
        <v>71</v>
      </c>
    </row>
    <row r="372" spans="1:32" s="67" customFormat="1" ht="30" customHeight="1" x14ac:dyDescent="0.25">
      <c r="A372" s="71">
        <v>46160</v>
      </c>
      <c r="B372" s="70" t="s">
        <v>5</v>
      </c>
      <c r="C372" s="70" t="s">
        <v>76</v>
      </c>
      <c r="D372" s="70">
        <v>17</v>
      </c>
      <c r="E372" s="70">
        <v>61</v>
      </c>
      <c r="F372" s="70">
        <v>39</v>
      </c>
      <c r="G372" s="70">
        <v>6</v>
      </c>
      <c r="H372" s="70"/>
      <c r="I372" s="70"/>
      <c r="J372" s="70"/>
      <c r="K372" s="70"/>
      <c r="L372" s="70"/>
      <c r="M372" s="70"/>
      <c r="N372" s="70"/>
      <c r="O372" s="70"/>
      <c r="P372" s="70">
        <v>15</v>
      </c>
      <c r="Q372" s="70"/>
      <c r="R372" s="70"/>
      <c r="S372" s="70">
        <v>16</v>
      </c>
      <c r="T372" s="70">
        <v>30</v>
      </c>
      <c r="U372" s="70"/>
      <c r="V372" s="70">
        <v>17</v>
      </c>
      <c r="W372" s="70"/>
      <c r="X372" s="70"/>
      <c r="Y372" s="70"/>
      <c r="Z372" s="70"/>
      <c r="AA372" s="70"/>
      <c r="AB372" s="70">
        <f>SUM(E372:AA372)</f>
        <v>184</v>
      </c>
      <c r="AC372" s="70">
        <f>AD372-AB372</f>
        <v>452</v>
      </c>
      <c r="AD372" s="70">
        <f>184+452</f>
        <v>636</v>
      </c>
      <c r="AE372" s="69">
        <f>(AB372/AD372)</f>
        <v>0.28930817610062892</v>
      </c>
      <c r="AF372" s="68" t="s">
        <v>71</v>
      </c>
    </row>
    <row r="373" spans="1:32" s="67" customFormat="1" ht="30" customHeight="1" x14ac:dyDescent="0.25">
      <c r="A373" s="71">
        <v>46160</v>
      </c>
      <c r="B373" s="70" t="s">
        <v>1</v>
      </c>
      <c r="C373" s="70" t="s">
        <v>6</v>
      </c>
      <c r="D373" s="70">
        <v>18</v>
      </c>
      <c r="E373" s="70">
        <v>60</v>
      </c>
      <c r="F373" s="70">
        <v>15</v>
      </c>
      <c r="G373" s="70"/>
      <c r="H373" s="70">
        <v>23</v>
      </c>
      <c r="I373" s="70"/>
      <c r="J373" s="70"/>
      <c r="K373" s="70">
        <v>16</v>
      </c>
      <c r="L373" s="70"/>
      <c r="M373" s="70">
        <v>89</v>
      </c>
      <c r="N373" s="70"/>
      <c r="O373" s="70">
        <v>4</v>
      </c>
      <c r="P373" s="70">
        <v>16</v>
      </c>
      <c r="Q373" s="70"/>
      <c r="R373" s="70"/>
      <c r="S373" s="70">
        <v>13</v>
      </c>
      <c r="T373" s="70">
        <v>39</v>
      </c>
      <c r="U373" s="70"/>
      <c r="V373" s="70">
        <f>31+32</f>
        <v>63</v>
      </c>
      <c r="W373" s="70"/>
      <c r="X373" s="70"/>
      <c r="Y373" s="70"/>
      <c r="Z373" s="70"/>
      <c r="AA373" s="70"/>
      <c r="AB373" s="70">
        <f>SUM(E373:AA373)</f>
        <v>338</v>
      </c>
      <c r="AC373" s="70">
        <f>AD373-AB373</f>
        <v>1016</v>
      </c>
      <c r="AD373" s="70">
        <f>338+1016</f>
        <v>1354</v>
      </c>
      <c r="AE373" s="69">
        <f>(AB373/AD373)</f>
        <v>0.24963072378138848</v>
      </c>
      <c r="AF373" s="68" t="s">
        <v>71</v>
      </c>
    </row>
    <row r="374" spans="1:32" s="67" customFormat="1" ht="30" customHeight="1" x14ac:dyDescent="0.25">
      <c r="A374" s="71">
        <v>46160</v>
      </c>
      <c r="B374" s="70" t="s">
        <v>1</v>
      </c>
      <c r="C374" s="70" t="s">
        <v>2</v>
      </c>
      <c r="D374" s="70">
        <v>19</v>
      </c>
      <c r="E374" s="70">
        <v>38</v>
      </c>
      <c r="F374" s="70">
        <v>33</v>
      </c>
      <c r="G374" s="70">
        <v>36</v>
      </c>
      <c r="H374" s="70">
        <v>31</v>
      </c>
      <c r="I374" s="70"/>
      <c r="J374" s="70"/>
      <c r="K374" s="70"/>
      <c r="L374" s="70"/>
      <c r="M374" s="70">
        <v>13</v>
      </c>
      <c r="N374" s="70"/>
      <c r="O374" s="70"/>
      <c r="P374" s="70">
        <v>11</v>
      </c>
      <c r="Q374" s="70"/>
      <c r="R374" s="70"/>
      <c r="S374" s="70"/>
      <c r="T374" s="70"/>
      <c r="U374" s="70"/>
      <c r="V374" s="70">
        <v>18</v>
      </c>
      <c r="W374" s="70"/>
      <c r="X374" s="70"/>
      <c r="Y374" s="70"/>
      <c r="Z374" s="70"/>
      <c r="AA374" s="70"/>
      <c r="AB374" s="70">
        <f>SUM(E374:AA374)</f>
        <v>180</v>
      </c>
      <c r="AC374" s="70">
        <f>AD374-AB374</f>
        <v>700</v>
      </c>
      <c r="AD374" s="70">
        <f>180+700</f>
        <v>880</v>
      </c>
      <c r="AE374" s="69">
        <f>(AB374/AD374)</f>
        <v>0.20454545454545456</v>
      </c>
      <c r="AF374" s="68" t="s">
        <v>71</v>
      </c>
    </row>
    <row r="375" spans="1:32" s="67" customFormat="1" ht="30" customHeight="1" x14ac:dyDescent="0.25">
      <c r="A375" s="71">
        <v>46160</v>
      </c>
      <c r="B375" s="70" t="s">
        <v>1</v>
      </c>
      <c r="C375" s="70" t="s">
        <v>9</v>
      </c>
      <c r="D375" s="70">
        <v>20</v>
      </c>
      <c r="E375" s="70"/>
      <c r="F375" s="70">
        <f>18+8+1+6</f>
        <v>33</v>
      </c>
      <c r="G375" s="70"/>
      <c r="H375" s="70">
        <f>3</f>
        <v>3</v>
      </c>
      <c r="I375" s="70"/>
      <c r="J375" s="70"/>
      <c r="K375" s="70">
        <f>38+12</f>
        <v>50</v>
      </c>
      <c r="L375" s="70"/>
      <c r="M375" s="70">
        <v>54</v>
      </c>
      <c r="N375" s="70"/>
      <c r="O375" s="70"/>
      <c r="P375" s="70">
        <v>24</v>
      </c>
      <c r="Q375" s="70"/>
      <c r="R375" s="70"/>
      <c r="S375" s="70"/>
      <c r="T375" s="70"/>
      <c r="U375" s="70"/>
      <c r="V375" s="70">
        <v>56</v>
      </c>
      <c r="W375" s="70"/>
      <c r="X375" s="70"/>
      <c r="Y375" s="70"/>
      <c r="Z375" s="70"/>
      <c r="AA375" s="70"/>
      <c r="AB375" s="70">
        <f>SUM(E375:AA375)</f>
        <v>220</v>
      </c>
      <c r="AC375" s="70">
        <f>AD375-AB375</f>
        <v>656</v>
      </c>
      <c r="AD375" s="70">
        <f>220+656</f>
        <v>876</v>
      </c>
      <c r="AE375" s="69">
        <f>(AB375/AD375)</f>
        <v>0.25114155251141551</v>
      </c>
      <c r="AF375" s="68" t="s">
        <v>71</v>
      </c>
    </row>
    <row r="376" spans="1:32" s="67" customFormat="1" ht="30" customHeight="1" x14ac:dyDescent="0.25">
      <c r="A376" s="71">
        <v>46160</v>
      </c>
      <c r="B376" s="70" t="s">
        <v>1</v>
      </c>
      <c r="C376" s="70" t="s">
        <v>75</v>
      </c>
      <c r="D376" s="70">
        <v>21</v>
      </c>
      <c r="E376" s="70">
        <f>72+53+43</f>
        <v>168</v>
      </c>
      <c r="F376" s="70">
        <f>7+5</f>
        <v>12</v>
      </c>
      <c r="G376" s="70">
        <f>5+3</f>
        <v>8</v>
      </c>
      <c r="H376" s="70">
        <f>4+3+16</f>
        <v>23</v>
      </c>
      <c r="I376" s="70">
        <f>10+4+8</f>
        <v>22</v>
      </c>
      <c r="J376" s="70">
        <f>5</f>
        <v>5</v>
      </c>
      <c r="K376" s="70"/>
      <c r="L376" s="70"/>
      <c r="M376" s="70">
        <f>5+13+24+5</f>
        <v>47</v>
      </c>
      <c r="N376" s="70"/>
      <c r="O376" s="70"/>
      <c r="P376" s="70">
        <f>48+7</f>
        <v>55</v>
      </c>
      <c r="Q376" s="70">
        <f>20</f>
        <v>20</v>
      </c>
      <c r="R376" s="70"/>
      <c r="S376" s="70"/>
      <c r="T376" s="70"/>
      <c r="U376" s="70"/>
      <c r="V376" s="70">
        <f>58+12+21+15</f>
        <v>106</v>
      </c>
      <c r="W376" s="70"/>
      <c r="X376" s="70"/>
      <c r="Y376" s="70"/>
      <c r="Z376" s="70"/>
      <c r="AA376" s="70"/>
      <c r="AB376" s="70">
        <f>SUM(E376:AA376)</f>
        <v>466</v>
      </c>
      <c r="AC376" s="70">
        <f>AD376-AB376</f>
        <v>854</v>
      </c>
      <c r="AD376" s="70">
        <f>466+854</f>
        <v>1320</v>
      </c>
      <c r="AE376" s="69">
        <f>(AB376/AD376)</f>
        <v>0.35303030303030303</v>
      </c>
      <c r="AF376" s="68" t="s">
        <v>71</v>
      </c>
    </row>
    <row r="377" spans="1:32" s="67" customFormat="1" ht="30" customHeight="1" x14ac:dyDescent="0.25">
      <c r="A377" s="71">
        <v>46160</v>
      </c>
      <c r="B377" s="70" t="s">
        <v>1</v>
      </c>
      <c r="C377" s="70" t="s">
        <v>8</v>
      </c>
      <c r="D377" s="70">
        <v>22</v>
      </c>
      <c r="E377" s="70">
        <v>44</v>
      </c>
      <c r="F377" s="70">
        <v>4</v>
      </c>
      <c r="G377" s="70">
        <v>6</v>
      </c>
      <c r="H377" s="70">
        <v>55</v>
      </c>
      <c r="I377" s="70"/>
      <c r="J377" s="70">
        <v>17</v>
      </c>
      <c r="K377" s="70"/>
      <c r="L377" s="70">
        <v>9</v>
      </c>
      <c r="M377" s="70">
        <v>131</v>
      </c>
      <c r="N377" s="70"/>
      <c r="O377" s="70">
        <v>75</v>
      </c>
      <c r="P377" s="70">
        <v>15</v>
      </c>
      <c r="Q377" s="70"/>
      <c r="R377" s="70"/>
      <c r="S377" s="70"/>
      <c r="T377" s="70">
        <v>9</v>
      </c>
      <c r="U377" s="70"/>
      <c r="V377" s="70">
        <v>25</v>
      </c>
      <c r="W377" s="70"/>
      <c r="X377" s="70"/>
      <c r="Y377" s="70"/>
      <c r="Z377" s="70"/>
      <c r="AA377" s="70"/>
      <c r="AB377" s="70">
        <f>SUM(E377:AA377)</f>
        <v>390</v>
      </c>
      <c r="AC377" s="70">
        <f>AD377-AB377</f>
        <v>752</v>
      </c>
      <c r="AD377" s="70">
        <f>390+752</f>
        <v>1142</v>
      </c>
      <c r="AE377" s="69">
        <f>(AB377/AD377)</f>
        <v>0.34150612959719789</v>
      </c>
      <c r="AF377" s="68" t="s">
        <v>71</v>
      </c>
    </row>
    <row r="378" spans="1:32" s="67" customFormat="1" ht="27.75" customHeight="1" x14ac:dyDescent="0.25">
      <c r="A378" s="71">
        <v>46160</v>
      </c>
      <c r="B378" s="70" t="s">
        <v>73</v>
      </c>
      <c r="C378" s="70" t="s">
        <v>7</v>
      </c>
      <c r="D378" s="70">
        <v>23</v>
      </c>
      <c r="E378" s="70">
        <v>17</v>
      </c>
      <c r="F378" s="70">
        <v>23</v>
      </c>
      <c r="G378" s="70"/>
      <c r="H378" s="70"/>
      <c r="I378" s="70"/>
      <c r="J378" s="70"/>
      <c r="K378" s="70"/>
      <c r="L378" s="70">
        <v>48</v>
      </c>
      <c r="M378" s="70">
        <v>10</v>
      </c>
      <c r="N378" s="70">
        <v>4</v>
      </c>
      <c r="O378" s="70">
        <v>10</v>
      </c>
      <c r="P378" s="70"/>
      <c r="Q378" s="70"/>
      <c r="R378" s="70"/>
      <c r="S378" s="70"/>
      <c r="T378" s="70">
        <v>26</v>
      </c>
      <c r="U378" s="70"/>
      <c r="V378" s="70">
        <f>8+16</f>
        <v>24</v>
      </c>
      <c r="W378" s="70"/>
      <c r="X378" s="70"/>
      <c r="Y378" s="70"/>
      <c r="Z378" s="70"/>
      <c r="AA378" s="70"/>
      <c r="AB378" s="70">
        <f>SUM(E378:AA378)</f>
        <v>162</v>
      </c>
      <c r="AC378" s="70">
        <f>AD378-AB378</f>
        <v>224</v>
      </c>
      <c r="AD378" s="70">
        <f>162+224</f>
        <v>386</v>
      </c>
      <c r="AE378" s="69">
        <f>(AB378/AD378)</f>
        <v>0.41968911917098445</v>
      </c>
      <c r="AF378" s="68" t="s">
        <v>71</v>
      </c>
    </row>
    <row r="379" spans="1:32" s="67" customFormat="1" ht="30" customHeight="1" x14ac:dyDescent="0.25">
      <c r="A379" s="71">
        <v>46160</v>
      </c>
      <c r="B379" s="70" t="s">
        <v>1</v>
      </c>
      <c r="C379" s="70" t="s">
        <v>6</v>
      </c>
      <c r="D379" s="70">
        <v>24</v>
      </c>
      <c r="E379" s="70">
        <f>25+25+9+5</f>
        <v>64</v>
      </c>
      <c r="F379" s="70">
        <f>5</f>
        <v>5</v>
      </c>
      <c r="G379" s="70"/>
      <c r="H379" s="70">
        <f>5</f>
        <v>5</v>
      </c>
      <c r="I379" s="70"/>
      <c r="J379" s="70"/>
      <c r="K379" s="70"/>
      <c r="L379" s="70">
        <v>5</v>
      </c>
      <c r="M379" s="70">
        <v>31</v>
      </c>
      <c r="N379" s="70"/>
      <c r="O379" s="70"/>
      <c r="P379" s="70"/>
      <c r="Q379" s="70"/>
      <c r="R379" s="70"/>
      <c r="S379" s="70"/>
      <c r="T379" s="70"/>
      <c r="U379" s="70"/>
      <c r="V379" s="70">
        <f>5+35</f>
        <v>40</v>
      </c>
      <c r="W379" s="70"/>
      <c r="X379" s="70"/>
      <c r="Y379" s="70"/>
      <c r="Z379" s="70"/>
      <c r="AA379" s="70">
        <f>13</f>
        <v>13</v>
      </c>
      <c r="AB379" s="70">
        <f>SUM(E379:AA379)</f>
        <v>163</v>
      </c>
      <c r="AC379" s="70">
        <f>AD379-AB379</f>
        <v>1032</v>
      </c>
      <c r="AD379" s="70">
        <f>163+1032</f>
        <v>1195</v>
      </c>
      <c r="AE379" s="69">
        <f>(AB379/AD379)</f>
        <v>0.13640167364016736</v>
      </c>
      <c r="AF379" s="68" t="s">
        <v>71</v>
      </c>
    </row>
    <row r="380" spans="1:32" s="67" customFormat="1" ht="30" customHeight="1" x14ac:dyDescent="0.25">
      <c r="A380" s="71">
        <v>46160</v>
      </c>
      <c r="B380" s="70" t="s">
        <v>5</v>
      </c>
      <c r="C380" s="70" t="s">
        <v>4</v>
      </c>
      <c r="D380" s="70">
        <v>25</v>
      </c>
      <c r="E380" s="70">
        <v>390</v>
      </c>
      <c r="F380" s="70"/>
      <c r="G380" s="70"/>
      <c r="H380" s="70">
        <v>110</v>
      </c>
      <c r="I380" s="70"/>
      <c r="J380" s="70"/>
      <c r="K380" s="70">
        <f>30+30</f>
        <v>60</v>
      </c>
      <c r="L380" s="70"/>
      <c r="M380" s="70">
        <v>140</v>
      </c>
      <c r="N380" s="70"/>
      <c r="O380" s="70"/>
      <c r="P380" s="70">
        <v>10</v>
      </c>
      <c r="Q380" s="70"/>
      <c r="R380" s="70"/>
      <c r="S380" s="70"/>
      <c r="T380" s="70"/>
      <c r="U380" s="70"/>
      <c r="V380" s="70">
        <f>15+40</f>
        <v>55</v>
      </c>
      <c r="W380" s="70"/>
      <c r="X380" s="70"/>
      <c r="Y380" s="70"/>
      <c r="Z380" s="70"/>
      <c r="AA380" s="70"/>
      <c r="AB380" s="70">
        <f>SUM(E380:AA380)</f>
        <v>765</v>
      </c>
      <c r="AC380" s="70">
        <f>AD380-AB380</f>
        <v>2032</v>
      </c>
      <c r="AD380" s="70">
        <f>765+2032</f>
        <v>2797</v>
      </c>
      <c r="AE380" s="69">
        <f>(AB380/AD380)</f>
        <v>0.27350732928137289</v>
      </c>
      <c r="AF380" s="68" t="s">
        <v>74</v>
      </c>
    </row>
    <row r="381" spans="1:32" s="67" customFormat="1" ht="30" customHeight="1" x14ac:dyDescent="0.25">
      <c r="A381" s="71">
        <v>46160</v>
      </c>
      <c r="B381" s="70" t="s">
        <v>1</v>
      </c>
      <c r="C381" s="70" t="s">
        <v>3</v>
      </c>
      <c r="D381" s="70">
        <v>26</v>
      </c>
      <c r="E381" s="70">
        <v>30</v>
      </c>
      <c r="F381" s="70"/>
      <c r="G381" s="70"/>
      <c r="H381" s="70">
        <v>35</v>
      </c>
      <c r="I381" s="70"/>
      <c r="J381" s="70"/>
      <c r="K381" s="70"/>
      <c r="L381" s="70"/>
      <c r="M381" s="70">
        <v>80</v>
      </c>
      <c r="N381" s="70"/>
      <c r="O381" s="70"/>
      <c r="P381" s="70">
        <v>15</v>
      </c>
      <c r="Q381" s="70"/>
      <c r="R381" s="70"/>
      <c r="S381" s="70"/>
      <c r="T381" s="70"/>
      <c r="U381" s="70"/>
      <c r="V381" s="70">
        <v>10</v>
      </c>
      <c r="W381" s="70"/>
      <c r="X381" s="70"/>
      <c r="Y381" s="70"/>
      <c r="Z381" s="70"/>
      <c r="AA381" s="70"/>
      <c r="AB381" s="70">
        <f>SUM(E381:AA381)</f>
        <v>170</v>
      </c>
      <c r="AC381" s="70">
        <f>AD381-AB381</f>
        <v>210</v>
      </c>
      <c r="AD381" s="70">
        <f>170+210</f>
        <v>380</v>
      </c>
      <c r="AE381" s="69">
        <f>(AB381/AD381)</f>
        <v>0.44736842105263158</v>
      </c>
      <c r="AF381" s="68" t="s">
        <v>71</v>
      </c>
    </row>
    <row r="382" spans="1:32" s="67" customFormat="1" ht="30" customHeight="1" x14ac:dyDescent="0.25">
      <c r="A382" s="71">
        <v>46160</v>
      </c>
      <c r="B382" s="70" t="s">
        <v>1</v>
      </c>
      <c r="C382" s="70" t="s">
        <v>2</v>
      </c>
      <c r="D382" s="70">
        <v>27</v>
      </c>
      <c r="E382" s="70">
        <f>95+45+95+20+45</f>
        <v>300</v>
      </c>
      <c r="F382" s="70">
        <f>13+25+20+30</f>
        <v>88</v>
      </c>
      <c r="G382" s="70">
        <f>40+20</f>
        <v>60</v>
      </c>
      <c r="H382" s="70">
        <f>65</f>
        <v>65</v>
      </c>
      <c r="I382" s="70"/>
      <c r="J382" s="70"/>
      <c r="K382" s="70"/>
      <c r="L382" s="70"/>
      <c r="M382" s="70"/>
      <c r="N382" s="70"/>
      <c r="O382" s="70"/>
      <c r="P382" s="70">
        <f>10+10+10+10</f>
        <v>40</v>
      </c>
      <c r="Q382" s="70"/>
      <c r="R382" s="70"/>
      <c r="S382" s="70"/>
      <c r="T382" s="70">
        <f>35+25+20</f>
        <v>80</v>
      </c>
      <c r="U382" s="70"/>
      <c r="V382" s="70">
        <f>45+10+25</f>
        <v>80</v>
      </c>
      <c r="W382" s="70"/>
      <c r="X382" s="70"/>
      <c r="Y382" s="70"/>
      <c r="Z382" s="70"/>
      <c r="AA382" s="70"/>
      <c r="AB382" s="70">
        <f>SUM(E382:AA382)</f>
        <v>713</v>
      </c>
      <c r="AC382" s="70">
        <f>AD382-AB382</f>
        <v>1360</v>
      </c>
      <c r="AD382" s="70">
        <f>713+1360</f>
        <v>2073</v>
      </c>
      <c r="AE382" s="69">
        <f>(AB382/AD382)</f>
        <v>0.34394597202122529</v>
      </c>
      <c r="AF382" s="68" t="s">
        <v>71</v>
      </c>
    </row>
    <row r="383" spans="1:32" s="67" customFormat="1" ht="30" customHeight="1" x14ac:dyDescent="0.25">
      <c r="A383" s="71">
        <v>46160</v>
      </c>
      <c r="B383" s="70" t="s">
        <v>73</v>
      </c>
      <c r="C383" s="70" t="s">
        <v>72</v>
      </c>
      <c r="D383" s="70">
        <v>28</v>
      </c>
      <c r="E383" s="70"/>
      <c r="F383" s="70">
        <v>26</v>
      </c>
      <c r="G383" s="70">
        <v>30</v>
      </c>
      <c r="H383" s="70">
        <v>10</v>
      </c>
      <c r="I383" s="70">
        <v>8</v>
      </c>
      <c r="J383" s="70"/>
      <c r="K383" s="70"/>
      <c r="L383" s="70"/>
      <c r="M383" s="70">
        <v>10</v>
      </c>
      <c r="N383" s="70"/>
      <c r="O383" s="70"/>
      <c r="P383" s="70">
        <v>13</v>
      </c>
      <c r="Q383" s="70"/>
      <c r="R383" s="70"/>
      <c r="S383" s="70"/>
      <c r="T383" s="70"/>
      <c r="U383" s="70"/>
      <c r="V383" s="70">
        <f>2+7</f>
        <v>9</v>
      </c>
      <c r="W383" s="70"/>
      <c r="X383" s="70"/>
      <c r="Y383" s="70"/>
      <c r="Z383" s="70"/>
      <c r="AA383" s="70"/>
      <c r="AB383" s="70">
        <f>SUM(E383:AA383)</f>
        <v>106</v>
      </c>
      <c r="AC383" s="70">
        <f>AD383-AB383</f>
        <v>135</v>
      </c>
      <c r="AD383" s="70">
        <f>106+135</f>
        <v>241</v>
      </c>
      <c r="AE383" s="69">
        <f>(AB383/AD383)</f>
        <v>0.43983402489626555</v>
      </c>
      <c r="AF383" s="68" t="s">
        <v>71</v>
      </c>
    </row>
    <row r="384" spans="1:32" s="67" customFormat="1" ht="30" customHeight="1" x14ac:dyDescent="0.25">
      <c r="A384" s="71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69"/>
      <c r="AF384" s="68"/>
    </row>
    <row r="385" spans="1:32" s="67" customFormat="1" ht="30" customHeight="1" x14ac:dyDescent="0.25">
      <c r="A385" s="71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69"/>
      <c r="AF385" s="68"/>
    </row>
    <row r="386" spans="1:32" s="67" customFormat="1" ht="30" customHeight="1" x14ac:dyDescent="0.25">
      <c r="A386" s="71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69"/>
      <c r="AF386" s="68"/>
    </row>
    <row r="387" spans="1:32" s="67" customFormat="1" ht="30" customHeight="1" x14ac:dyDescent="0.25">
      <c r="A387" s="71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69"/>
      <c r="AF387" s="68"/>
    </row>
    <row r="388" spans="1:32" s="67" customFormat="1" ht="30" customHeight="1" x14ac:dyDescent="0.25">
      <c r="A388" s="71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69"/>
      <c r="AF388" s="68"/>
    </row>
    <row r="389" spans="1:32" s="67" customFormat="1" ht="30" customHeight="1" x14ac:dyDescent="0.25">
      <c r="A389" s="71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69"/>
      <c r="AF389" s="68"/>
    </row>
    <row r="390" spans="1:32" s="67" customFormat="1" ht="30" customHeight="1" x14ac:dyDescent="0.25">
      <c r="A390" s="71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69"/>
      <c r="AF390" s="68"/>
    </row>
    <row r="391" spans="1:32" s="67" customFormat="1" ht="30" customHeight="1" x14ac:dyDescent="0.25">
      <c r="A391" s="71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69"/>
      <c r="AF391" s="68"/>
    </row>
    <row r="392" spans="1:32" s="67" customFormat="1" ht="30" customHeight="1" x14ac:dyDescent="0.25">
      <c r="A392" s="71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69"/>
      <c r="AF392" s="68"/>
    </row>
    <row r="393" spans="1:32" s="67" customFormat="1" ht="30" customHeight="1" x14ac:dyDescent="0.25">
      <c r="A393" s="71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69"/>
      <c r="AF393" s="68"/>
    </row>
    <row r="394" spans="1:32" s="67" customFormat="1" ht="30" customHeight="1" x14ac:dyDescent="0.25">
      <c r="A394" s="71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69"/>
      <c r="AF394" s="68"/>
    </row>
    <row r="395" spans="1:32" s="67" customFormat="1" ht="30" customHeight="1" x14ac:dyDescent="0.25">
      <c r="A395" s="71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69"/>
      <c r="AF395" s="68"/>
    </row>
    <row r="396" spans="1:32" s="67" customFormat="1" ht="30" customHeight="1" x14ac:dyDescent="0.25">
      <c r="A396" s="71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69"/>
      <c r="AF396" s="68"/>
    </row>
    <row r="397" spans="1:32" s="67" customFormat="1" ht="30" customHeight="1" x14ac:dyDescent="0.25">
      <c r="A397" s="71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69"/>
      <c r="AF397" s="68"/>
    </row>
    <row r="398" spans="1:32" s="67" customFormat="1" ht="30" customHeight="1" x14ac:dyDescent="0.25">
      <c r="A398" s="71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69"/>
      <c r="AF398" s="68"/>
    </row>
    <row r="399" spans="1:32" s="67" customFormat="1" ht="30" customHeight="1" x14ac:dyDescent="0.25">
      <c r="A399" s="71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69"/>
      <c r="AF399" s="68"/>
    </row>
    <row r="400" spans="1:32" s="67" customFormat="1" ht="30" customHeight="1" x14ac:dyDescent="0.25">
      <c r="A400" s="71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69"/>
      <c r="AF400" s="68"/>
    </row>
    <row r="401" spans="1:32" s="67" customFormat="1" ht="30" customHeight="1" x14ac:dyDescent="0.25">
      <c r="A401" s="71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69"/>
      <c r="AF401" s="68"/>
    </row>
    <row r="402" spans="1:32" s="67" customFormat="1" ht="30" customHeight="1" x14ac:dyDescent="0.25">
      <c r="A402" s="71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69"/>
      <c r="AF402" s="68"/>
    </row>
    <row r="403" spans="1:32" s="67" customFormat="1" ht="30" customHeight="1" x14ac:dyDescent="0.25">
      <c r="A403" s="71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69"/>
      <c r="AF403" s="68"/>
    </row>
    <row r="404" spans="1:32" s="67" customFormat="1" ht="30" customHeight="1" x14ac:dyDescent="0.25">
      <c r="A404" s="71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69"/>
      <c r="AF404" s="68"/>
    </row>
    <row r="405" spans="1:32" s="67" customFormat="1" ht="30" customHeight="1" x14ac:dyDescent="0.25">
      <c r="A405" s="71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69"/>
      <c r="AF405" s="68"/>
    </row>
    <row r="406" spans="1:32" s="67" customFormat="1" ht="30" customHeight="1" x14ac:dyDescent="0.25">
      <c r="A406" s="71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69"/>
      <c r="AF406" s="68"/>
    </row>
    <row r="407" spans="1:32" s="67" customFormat="1" ht="30" customHeight="1" x14ac:dyDescent="0.25">
      <c r="A407" s="71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69"/>
      <c r="AF407" s="68"/>
    </row>
    <row r="408" spans="1:32" s="67" customFormat="1" ht="30" customHeight="1" x14ac:dyDescent="0.25">
      <c r="A408" s="71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69"/>
      <c r="AF408" s="68"/>
    </row>
    <row r="409" spans="1:32" s="67" customFormat="1" ht="30" customHeight="1" x14ac:dyDescent="0.25">
      <c r="A409" s="71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69"/>
      <c r="AF409" s="68"/>
    </row>
    <row r="410" spans="1:32" s="67" customFormat="1" ht="30" customHeight="1" x14ac:dyDescent="0.25">
      <c r="A410" s="71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69"/>
      <c r="AF410" s="68"/>
    </row>
    <row r="411" spans="1:32" s="67" customFormat="1" ht="30" customHeight="1" x14ac:dyDescent="0.25">
      <c r="A411" s="71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69"/>
      <c r="AF411" s="68"/>
    </row>
    <row r="412" spans="1:32" s="67" customFormat="1" ht="30" customHeight="1" x14ac:dyDescent="0.25">
      <c r="A412" s="71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69"/>
      <c r="AF412" s="68"/>
    </row>
    <row r="413" spans="1:32" s="67" customFormat="1" ht="30" customHeight="1" x14ac:dyDescent="0.25">
      <c r="A413" s="71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69"/>
      <c r="AF413" s="68"/>
    </row>
    <row r="414" spans="1:32" s="67" customFormat="1" ht="30" customHeight="1" x14ac:dyDescent="0.25">
      <c r="A414" s="71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69"/>
      <c r="AF414" s="68"/>
    </row>
    <row r="415" spans="1:32" s="67" customFormat="1" ht="30" customHeight="1" x14ac:dyDescent="0.25">
      <c r="A415" s="71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69"/>
      <c r="AF415" s="68"/>
    </row>
    <row r="416" spans="1:32" s="67" customFormat="1" ht="30" customHeight="1" x14ac:dyDescent="0.25">
      <c r="A416" s="71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69"/>
      <c r="AF416" s="68"/>
    </row>
    <row r="417" spans="1:32" s="67" customFormat="1" ht="30" customHeight="1" x14ac:dyDescent="0.25">
      <c r="A417" s="71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69"/>
      <c r="AF417" s="68"/>
    </row>
    <row r="418" spans="1:32" s="67" customFormat="1" ht="30" customHeight="1" x14ac:dyDescent="0.25">
      <c r="A418" s="71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69"/>
      <c r="AF418" s="68"/>
    </row>
    <row r="419" spans="1:32" s="67" customFormat="1" ht="30" customHeight="1" x14ac:dyDescent="0.25">
      <c r="A419" s="71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69"/>
      <c r="AF419" s="68"/>
    </row>
    <row r="420" spans="1:32" s="67" customFormat="1" ht="30" customHeight="1" x14ac:dyDescent="0.25">
      <c r="A420" s="71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69"/>
      <c r="AF420" s="68"/>
    </row>
    <row r="421" spans="1:32" s="67" customFormat="1" ht="30" customHeight="1" x14ac:dyDescent="0.25">
      <c r="A421" s="71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69"/>
      <c r="AF421" s="68"/>
    </row>
    <row r="422" spans="1:32" s="67" customFormat="1" ht="30" customHeight="1" x14ac:dyDescent="0.25">
      <c r="A422" s="71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69"/>
      <c r="AF422" s="68"/>
    </row>
    <row r="423" spans="1:32" s="67" customFormat="1" ht="30" customHeight="1" x14ac:dyDescent="0.25">
      <c r="A423" s="71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69"/>
      <c r="AF423" s="68"/>
    </row>
    <row r="424" spans="1:32" s="67" customFormat="1" ht="30" customHeight="1" x14ac:dyDescent="0.25">
      <c r="A424" s="71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69"/>
      <c r="AF424" s="68"/>
    </row>
    <row r="425" spans="1:32" s="67" customFormat="1" ht="30" customHeight="1" x14ac:dyDescent="0.25">
      <c r="A425" s="71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69"/>
      <c r="AF425" s="68"/>
    </row>
    <row r="426" spans="1:32" s="67" customFormat="1" ht="30" customHeight="1" x14ac:dyDescent="0.25">
      <c r="A426" s="71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69"/>
      <c r="AF426" s="68"/>
    </row>
    <row r="427" spans="1:32" s="67" customFormat="1" ht="30" customHeight="1" x14ac:dyDescent="0.25">
      <c r="A427" s="71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69"/>
      <c r="AF427" s="68"/>
    </row>
    <row r="428" spans="1:32" s="67" customFormat="1" ht="30" customHeight="1" x14ac:dyDescent="0.25">
      <c r="A428" s="71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69"/>
      <c r="AF428" s="68"/>
    </row>
    <row r="429" spans="1:32" s="67" customFormat="1" ht="30" customHeight="1" x14ac:dyDescent="0.25">
      <c r="A429" s="71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69"/>
      <c r="AF429" s="68"/>
    </row>
    <row r="430" spans="1:32" s="67" customFormat="1" ht="30" customHeight="1" x14ac:dyDescent="0.25">
      <c r="A430" s="71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69"/>
      <c r="AF430" s="68"/>
    </row>
    <row r="431" spans="1:32" s="67" customFormat="1" ht="30" customHeight="1" x14ac:dyDescent="0.25">
      <c r="A431" s="71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69"/>
      <c r="AF431" s="68"/>
    </row>
    <row r="432" spans="1:32" s="67" customFormat="1" ht="30" customHeight="1" x14ac:dyDescent="0.25">
      <c r="A432" s="71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69"/>
      <c r="AF432" s="68"/>
    </row>
    <row r="433" spans="1:32" s="67" customFormat="1" ht="30" customHeight="1" x14ac:dyDescent="0.25">
      <c r="A433" s="71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69"/>
      <c r="AF433" s="68"/>
    </row>
    <row r="434" spans="1:32" s="67" customFormat="1" ht="30" customHeight="1" x14ac:dyDescent="0.25">
      <c r="A434" s="71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69"/>
      <c r="AF434" s="68"/>
    </row>
    <row r="435" spans="1:32" s="67" customFormat="1" ht="30" customHeight="1" x14ac:dyDescent="0.25">
      <c r="A435" s="71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69"/>
      <c r="AF435" s="68"/>
    </row>
    <row r="436" spans="1:32" s="67" customFormat="1" ht="30" customHeight="1" x14ac:dyDescent="0.25">
      <c r="A436" s="71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69"/>
      <c r="AF436" s="68"/>
    </row>
    <row r="437" spans="1:32" s="67" customFormat="1" ht="30" customHeight="1" x14ac:dyDescent="0.25">
      <c r="A437" s="71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69"/>
      <c r="AF437" s="68"/>
    </row>
    <row r="438" spans="1:32" s="67" customFormat="1" ht="30" customHeight="1" x14ac:dyDescent="0.25">
      <c r="A438" s="71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69"/>
      <c r="AF438" s="68"/>
    </row>
    <row r="439" spans="1:32" s="67" customFormat="1" ht="30" customHeight="1" x14ac:dyDescent="0.25">
      <c r="A439" s="71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69"/>
      <c r="AF439" s="68"/>
    </row>
    <row r="440" spans="1:32" s="67" customFormat="1" ht="30" customHeight="1" x14ac:dyDescent="0.25">
      <c r="A440" s="71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69"/>
      <c r="AF440" s="68"/>
    </row>
    <row r="441" spans="1:32" s="67" customFormat="1" ht="30" customHeight="1" x14ac:dyDescent="0.25">
      <c r="A441" s="71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69"/>
      <c r="AF441" s="68"/>
    </row>
    <row r="442" spans="1:32" s="67" customFormat="1" ht="30" customHeight="1" x14ac:dyDescent="0.25">
      <c r="A442" s="71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69"/>
      <c r="AF442" s="68"/>
    </row>
    <row r="443" spans="1:32" s="67" customFormat="1" ht="30" customHeight="1" x14ac:dyDescent="0.25">
      <c r="A443" s="71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69"/>
      <c r="AF443" s="68"/>
    </row>
    <row r="444" spans="1:32" s="67" customFormat="1" ht="30" customHeight="1" x14ac:dyDescent="0.25">
      <c r="A444" s="71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69"/>
      <c r="AF444" s="68"/>
    </row>
    <row r="445" spans="1:32" s="67" customFormat="1" ht="30" customHeight="1" x14ac:dyDescent="0.25">
      <c r="A445" s="71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69"/>
      <c r="AF445" s="68"/>
    </row>
    <row r="446" spans="1:32" s="67" customFormat="1" ht="30" customHeight="1" x14ac:dyDescent="0.25">
      <c r="A446" s="71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69"/>
      <c r="AF446" s="68"/>
    </row>
    <row r="447" spans="1:32" s="67" customFormat="1" ht="30" customHeight="1" x14ac:dyDescent="0.25">
      <c r="A447" s="71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69"/>
      <c r="AF447" s="68"/>
    </row>
    <row r="448" spans="1:32" s="67" customFormat="1" ht="30" customHeight="1" x14ac:dyDescent="0.25">
      <c r="A448" s="71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69"/>
      <c r="AF448" s="68"/>
    </row>
    <row r="449" spans="1:32" s="67" customFormat="1" ht="30" customHeight="1" x14ac:dyDescent="0.25">
      <c r="A449" s="71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69"/>
      <c r="AF449" s="68"/>
    </row>
    <row r="450" spans="1:32" s="67" customFormat="1" ht="30" customHeight="1" x14ac:dyDescent="0.25">
      <c r="A450" s="71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69"/>
      <c r="AF450" s="68"/>
    </row>
    <row r="451" spans="1:32" s="67" customFormat="1" ht="30" customHeight="1" x14ac:dyDescent="0.25">
      <c r="A451" s="71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69"/>
      <c r="AF451" s="68"/>
    </row>
    <row r="452" spans="1:32" s="67" customFormat="1" ht="30" customHeight="1" x14ac:dyDescent="0.25">
      <c r="A452" s="71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69"/>
      <c r="AF452" s="68"/>
    </row>
    <row r="453" spans="1:32" s="67" customFormat="1" ht="30" customHeight="1" x14ac:dyDescent="0.25">
      <c r="A453" s="71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69"/>
      <c r="AF453" s="68"/>
    </row>
    <row r="454" spans="1:32" s="67" customFormat="1" ht="30" customHeight="1" x14ac:dyDescent="0.25">
      <c r="A454" s="71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69"/>
      <c r="AF454" s="68"/>
    </row>
    <row r="455" spans="1:32" s="67" customFormat="1" ht="30" customHeight="1" x14ac:dyDescent="0.25">
      <c r="A455" s="71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69"/>
      <c r="AF455" s="68"/>
    </row>
    <row r="456" spans="1:32" s="67" customFormat="1" ht="30" customHeight="1" x14ac:dyDescent="0.25">
      <c r="A456" s="71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69"/>
      <c r="AF456" s="68"/>
    </row>
    <row r="457" spans="1:32" s="67" customFormat="1" ht="30" customHeight="1" x14ac:dyDescent="0.25">
      <c r="A457" s="71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69"/>
      <c r="AF457" s="68"/>
    </row>
    <row r="458" spans="1:32" s="67" customFormat="1" ht="30" customHeight="1" x14ac:dyDescent="0.25">
      <c r="A458" s="71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69"/>
      <c r="AF458" s="68"/>
    </row>
    <row r="459" spans="1:32" s="67" customFormat="1" ht="30" customHeight="1" x14ac:dyDescent="0.25">
      <c r="A459" s="71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69"/>
      <c r="AF459" s="68"/>
    </row>
    <row r="460" spans="1:32" s="67" customFormat="1" ht="30" customHeight="1" x14ac:dyDescent="0.25">
      <c r="A460" s="71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69"/>
      <c r="AF460" s="68"/>
    </row>
    <row r="461" spans="1:32" s="67" customFormat="1" ht="30" customHeight="1" x14ac:dyDescent="0.25">
      <c r="A461" s="71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69"/>
      <c r="AF461" s="68"/>
    </row>
    <row r="462" spans="1:32" s="67" customFormat="1" ht="30" customHeight="1" x14ac:dyDescent="0.25">
      <c r="A462" s="71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69"/>
      <c r="AF462" s="68"/>
    </row>
    <row r="463" spans="1:32" s="67" customFormat="1" ht="30" customHeight="1" x14ac:dyDescent="0.25">
      <c r="A463" s="71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69"/>
      <c r="AF463" s="68"/>
    </row>
    <row r="464" spans="1:32" s="67" customFormat="1" ht="30" customHeight="1" x14ac:dyDescent="0.25">
      <c r="A464" s="71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69"/>
      <c r="AF464" s="68"/>
    </row>
    <row r="465" spans="1:32" s="67" customFormat="1" ht="30" customHeight="1" x14ac:dyDescent="0.25">
      <c r="A465" s="71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69"/>
      <c r="AF465" s="68"/>
    </row>
    <row r="466" spans="1:32" s="67" customFormat="1" ht="30" customHeight="1" x14ac:dyDescent="0.25">
      <c r="A466" s="71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69"/>
      <c r="AF466" s="68"/>
    </row>
    <row r="467" spans="1:32" s="67" customFormat="1" ht="30" customHeight="1" x14ac:dyDescent="0.25">
      <c r="A467" s="71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69"/>
      <c r="AF467" s="68"/>
    </row>
    <row r="468" spans="1:32" s="67" customFormat="1" ht="30" customHeight="1" x14ac:dyDescent="0.25">
      <c r="A468" s="71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69"/>
      <c r="AF468" s="68"/>
    </row>
    <row r="469" spans="1:32" s="67" customFormat="1" ht="30" customHeight="1" x14ac:dyDescent="0.25">
      <c r="A469" s="71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69"/>
      <c r="AF469" s="68"/>
    </row>
    <row r="470" spans="1:32" s="67" customFormat="1" ht="30" customHeight="1" x14ac:dyDescent="0.25">
      <c r="A470" s="71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69"/>
      <c r="AF470" s="68"/>
    </row>
    <row r="471" spans="1:32" s="67" customFormat="1" ht="30" customHeight="1" x14ac:dyDescent="0.25">
      <c r="A471" s="71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69"/>
      <c r="AF471" s="68"/>
    </row>
    <row r="472" spans="1:32" s="67" customFormat="1" ht="30" customHeight="1" x14ac:dyDescent="0.25">
      <c r="A472" s="71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69"/>
      <c r="AF472" s="68"/>
    </row>
    <row r="473" spans="1:32" s="67" customFormat="1" ht="30" customHeight="1" x14ac:dyDescent="0.25">
      <c r="A473" s="71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69"/>
      <c r="AF473" s="68"/>
    </row>
    <row r="474" spans="1:32" s="67" customFormat="1" ht="30" customHeight="1" x14ac:dyDescent="0.25">
      <c r="A474" s="71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69"/>
      <c r="AF474" s="68"/>
    </row>
    <row r="475" spans="1:32" s="67" customFormat="1" ht="30" customHeight="1" x14ac:dyDescent="0.25">
      <c r="A475" s="71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69"/>
      <c r="AF475" s="68"/>
    </row>
    <row r="476" spans="1:32" s="67" customFormat="1" ht="30" customHeight="1" x14ac:dyDescent="0.25">
      <c r="A476" s="71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69"/>
      <c r="AF476" s="68"/>
    </row>
    <row r="477" spans="1:32" s="67" customFormat="1" ht="30" customHeight="1" x14ac:dyDescent="0.25">
      <c r="A477" s="71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69"/>
      <c r="AF477" s="68"/>
    </row>
    <row r="478" spans="1:32" s="67" customFormat="1" ht="30" customHeight="1" x14ac:dyDescent="0.25">
      <c r="A478" s="71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69"/>
      <c r="AF478" s="68"/>
    </row>
    <row r="479" spans="1:32" s="67" customFormat="1" ht="30" customHeight="1" x14ac:dyDescent="0.25">
      <c r="A479" s="71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69"/>
      <c r="AF479" s="68"/>
    </row>
    <row r="480" spans="1:32" s="67" customFormat="1" ht="30" customHeight="1" x14ac:dyDescent="0.25">
      <c r="A480" s="71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69"/>
      <c r="AF480" s="68"/>
    </row>
    <row r="481" spans="1:32" s="67" customFormat="1" ht="30" customHeight="1" x14ac:dyDescent="0.25">
      <c r="A481" s="71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69"/>
      <c r="AF481" s="68"/>
    </row>
    <row r="482" spans="1:32" s="67" customFormat="1" ht="30" customHeight="1" x14ac:dyDescent="0.25">
      <c r="A482" s="71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69"/>
      <c r="AF482" s="68"/>
    </row>
    <row r="483" spans="1:32" s="67" customFormat="1" ht="30" customHeight="1" x14ac:dyDescent="0.25">
      <c r="A483" s="71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69"/>
      <c r="AF483" s="68"/>
    </row>
    <row r="484" spans="1:32" s="67" customFormat="1" ht="30" customHeight="1" x14ac:dyDescent="0.25">
      <c r="A484" s="71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69"/>
      <c r="AF484" s="68"/>
    </row>
    <row r="485" spans="1:32" s="67" customFormat="1" ht="30" customHeight="1" x14ac:dyDescent="0.25">
      <c r="A485" s="71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69"/>
      <c r="AF485" s="68"/>
    </row>
    <row r="486" spans="1:32" s="67" customFormat="1" ht="30" customHeight="1" x14ac:dyDescent="0.25">
      <c r="A486" s="71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69"/>
      <c r="AF486" s="68"/>
    </row>
    <row r="487" spans="1:32" s="67" customFormat="1" ht="30" customHeight="1" x14ac:dyDescent="0.25">
      <c r="A487" s="71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69"/>
      <c r="AF487" s="68"/>
    </row>
    <row r="488" spans="1:32" s="67" customFormat="1" ht="30" customHeight="1" x14ac:dyDescent="0.25">
      <c r="A488" s="71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69"/>
      <c r="AF488" s="68"/>
    </row>
    <row r="489" spans="1:32" s="67" customFormat="1" ht="30" customHeight="1" x14ac:dyDescent="0.25">
      <c r="A489" s="71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69"/>
      <c r="AF489" s="68"/>
    </row>
    <row r="490" spans="1:32" s="67" customFormat="1" ht="30" customHeight="1" x14ac:dyDescent="0.25">
      <c r="A490" s="71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69"/>
      <c r="AF490" s="68"/>
    </row>
    <row r="491" spans="1:32" s="67" customFormat="1" ht="30" customHeight="1" x14ac:dyDescent="0.25">
      <c r="A491" s="71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69"/>
      <c r="AF491" s="68"/>
    </row>
    <row r="492" spans="1:32" s="67" customFormat="1" ht="30" customHeight="1" x14ac:dyDescent="0.25">
      <c r="A492" s="71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69"/>
      <c r="AF492" s="68"/>
    </row>
    <row r="493" spans="1:32" s="67" customFormat="1" ht="30" customHeight="1" x14ac:dyDescent="0.25">
      <c r="A493" s="71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69"/>
      <c r="AF493" s="68"/>
    </row>
    <row r="494" spans="1:32" s="67" customFormat="1" ht="30" customHeight="1" x14ac:dyDescent="0.25">
      <c r="A494" s="71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69"/>
      <c r="AF494" s="68"/>
    </row>
    <row r="495" spans="1:32" s="67" customFormat="1" ht="30" customHeight="1" x14ac:dyDescent="0.25">
      <c r="A495" s="71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69"/>
      <c r="AF495" s="68"/>
    </row>
    <row r="496" spans="1:32" s="67" customFormat="1" ht="30" customHeight="1" x14ac:dyDescent="0.25">
      <c r="A496" s="71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69"/>
      <c r="AF496" s="68"/>
    </row>
    <row r="497" spans="1:32" s="67" customFormat="1" ht="30" customHeight="1" x14ac:dyDescent="0.25">
      <c r="A497" s="71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69"/>
      <c r="AF497" s="68"/>
    </row>
    <row r="498" spans="1:32" s="67" customFormat="1" ht="30" customHeight="1" x14ac:dyDescent="0.25">
      <c r="A498" s="71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69"/>
      <c r="AF498" s="68"/>
    </row>
    <row r="499" spans="1:32" s="67" customFormat="1" ht="30" customHeight="1" x14ac:dyDescent="0.25">
      <c r="A499" s="71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69"/>
      <c r="AF499" s="68"/>
    </row>
    <row r="500" spans="1:32" s="67" customFormat="1" ht="30" customHeight="1" x14ac:dyDescent="0.25">
      <c r="A500" s="71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69"/>
      <c r="AF500" s="68"/>
    </row>
    <row r="501" spans="1:32" s="67" customFormat="1" ht="30" customHeight="1" x14ac:dyDescent="0.25">
      <c r="A501" s="71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69"/>
      <c r="AF501" s="68"/>
    </row>
    <row r="502" spans="1:32" s="67" customFormat="1" ht="30" customHeight="1" x14ac:dyDescent="0.25">
      <c r="A502" s="71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69"/>
      <c r="AF502" s="68"/>
    </row>
    <row r="503" spans="1:32" s="67" customFormat="1" ht="30" customHeight="1" x14ac:dyDescent="0.25">
      <c r="A503" s="71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69"/>
      <c r="AF503" s="68"/>
    </row>
    <row r="504" spans="1:32" s="67" customFormat="1" ht="30" customHeight="1" x14ac:dyDescent="0.25">
      <c r="A504" s="71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69"/>
      <c r="AF504" s="68"/>
    </row>
    <row r="505" spans="1:32" s="67" customFormat="1" ht="30" customHeight="1" x14ac:dyDescent="0.25">
      <c r="A505" s="71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69"/>
      <c r="AF505" s="68"/>
    </row>
    <row r="506" spans="1:32" s="67" customFormat="1" ht="30" customHeight="1" x14ac:dyDescent="0.25">
      <c r="A506" s="71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69"/>
      <c r="AF506" s="68"/>
    </row>
    <row r="507" spans="1:32" s="67" customFormat="1" ht="30" customHeight="1" x14ac:dyDescent="0.25">
      <c r="A507" s="71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69"/>
      <c r="AF507" s="68"/>
    </row>
    <row r="508" spans="1:32" s="67" customFormat="1" ht="30" customHeight="1" x14ac:dyDescent="0.25">
      <c r="A508" s="71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69"/>
      <c r="AF508" s="68"/>
    </row>
    <row r="509" spans="1:32" s="67" customFormat="1" ht="30" customHeight="1" x14ac:dyDescent="0.25">
      <c r="A509" s="71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69"/>
      <c r="AF509" s="68"/>
    </row>
    <row r="510" spans="1:32" s="67" customFormat="1" ht="30" customHeight="1" x14ac:dyDescent="0.25">
      <c r="A510" s="71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69"/>
      <c r="AF510" s="68"/>
    </row>
    <row r="511" spans="1:32" s="67" customFormat="1" ht="27.75" customHeight="1" x14ac:dyDescent="0.25">
      <c r="A511" s="71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69"/>
      <c r="AF511" s="68"/>
    </row>
    <row r="512" spans="1:32" s="67" customFormat="1" ht="30" customHeight="1" x14ac:dyDescent="0.25">
      <c r="A512" s="71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69"/>
      <c r="AF512" s="68"/>
    </row>
    <row r="513" spans="1:32" s="67" customFormat="1" ht="30" customHeight="1" x14ac:dyDescent="0.25">
      <c r="A513" s="71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69"/>
      <c r="AF513" s="68"/>
    </row>
    <row r="514" spans="1:32" s="67" customFormat="1" ht="30" customHeight="1" x14ac:dyDescent="0.25">
      <c r="A514" s="71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69"/>
      <c r="AF514" s="68"/>
    </row>
    <row r="515" spans="1:32" s="67" customFormat="1" ht="30" customHeight="1" x14ac:dyDescent="0.25">
      <c r="A515" s="71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69"/>
      <c r="AF515" s="68"/>
    </row>
    <row r="516" spans="1:32" s="67" customFormat="1" ht="30" customHeight="1" x14ac:dyDescent="0.25">
      <c r="A516" s="71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69"/>
      <c r="AF516" s="68"/>
    </row>
    <row r="517" spans="1:32" s="67" customFormat="1" ht="30" customHeight="1" x14ac:dyDescent="0.25">
      <c r="A517" s="71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69"/>
      <c r="AF517" s="68"/>
    </row>
    <row r="518" spans="1:32" s="67" customFormat="1" ht="30" customHeight="1" x14ac:dyDescent="0.25">
      <c r="A518" s="71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69"/>
      <c r="AF518" s="68"/>
    </row>
    <row r="519" spans="1:32" s="67" customFormat="1" ht="30" customHeight="1" x14ac:dyDescent="0.25">
      <c r="A519" s="71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69"/>
      <c r="AF519" s="68"/>
    </row>
    <row r="520" spans="1:32" s="67" customFormat="1" ht="30" customHeight="1" x14ac:dyDescent="0.25">
      <c r="A520" s="71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69"/>
      <c r="AF520" s="68"/>
    </row>
    <row r="521" spans="1:32" s="67" customFormat="1" ht="30" customHeight="1" x14ac:dyDescent="0.25">
      <c r="A521" s="71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69"/>
      <c r="AF521" s="68"/>
    </row>
    <row r="522" spans="1:32" s="67" customFormat="1" ht="30" customHeight="1" x14ac:dyDescent="0.25">
      <c r="A522" s="71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69"/>
      <c r="AF522" s="68"/>
    </row>
    <row r="523" spans="1:32" s="67" customFormat="1" ht="30" customHeight="1" x14ac:dyDescent="0.25">
      <c r="A523" s="71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69"/>
      <c r="AF523" s="68"/>
    </row>
    <row r="524" spans="1:32" s="67" customFormat="1" ht="30" customHeight="1" x14ac:dyDescent="0.25">
      <c r="A524" s="71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69"/>
      <c r="AF524" s="68"/>
    </row>
    <row r="525" spans="1:32" s="67" customFormat="1" ht="30" customHeight="1" x14ac:dyDescent="0.25">
      <c r="A525" s="71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69"/>
      <c r="AF525" s="68"/>
    </row>
    <row r="526" spans="1:32" s="67" customFormat="1" ht="30" customHeight="1" x14ac:dyDescent="0.25">
      <c r="A526" s="71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69"/>
      <c r="AF526" s="68"/>
    </row>
    <row r="527" spans="1:32" s="67" customFormat="1" ht="30" customHeight="1" x14ac:dyDescent="0.25">
      <c r="A527" s="71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69"/>
      <c r="AF527" s="68"/>
    </row>
    <row r="528" spans="1:32" s="67" customFormat="1" ht="30" customHeight="1" x14ac:dyDescent="0.25">
      <c r="A528" s="71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69"/>
      <c r="AF528" s="68"/>
    </row>
    <row r="529" spans="1:32" s="67" customFormat="1" ht="30" customHeight="1" x14ac:dyDescent="0.25">
      <c r="A529" s="71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69"/>
      <c r="AF529" s="68"/>
    </row>
    <row r="530" spans="1:32" s="67" customFormat="1" ht="30" customHeight="1" x14ac:dyDescent="0.25">
      <c r="A530" s="71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69"/>
      <c r="AF530" s="68"/>
    </row>
    <row r="531" spans="1:32" s="67" customFormat="1" ht="30" customHeight="1" x14ac:dyDescent="0.25">
      <c r="A531" s="71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69"/>
      <c r="AF531" s="68"/>
    </row>
    <row r="532" spans="1:32" s="67" customFormat="1" ht="30" customHeight="1" x14ac:dyDescent="0.25">
      <c r="A532" s="71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69"/>
      <c r="AF532" s="68"/>
    </row>
    <row r="533" spans="1:32" s="67" customFormat="1" ht="30" customHeight="1" x14ac:dyDescent="0.25">
      <c r="A533" s="71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69"/>
      <c r="AF533" s="68"/>
    </row>
    <row r="534" spans="1:32" s="67" customFormat="1" ht="30" customHeight="1" x14ac:dyDescent="0.25">
      <c r="A534" s="71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69"/>
      <c r="AF534" s="68"/>
    </row>
    <row r="535" spans="1:32" s="67" customFormat="1" ht="30" customHeight="1" x14ac:dyDescent="0.25">
      <c r="A535" s="71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69"/>
      <c r="AF535" s="68"/>
    </row>
    <row r="536" spans="1:32" s="67" customFormat="1" ht="30" customHeight="1" x14ac:dyDescent="0.25">
      <c r="A536" s="71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69"/>
      <c r="AF536" s="68"/>
    </row>
    <row r="537" spans="1:32" s="67" customFormat="1" ht="30" customHeight="1" x14ac:dyDescent="0.25">
      <c r="A537" s="71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69"/>
      <c r="AF537" s="68"/>
    </row>
    <row r="538" spans="1:32" s="67" customFormat="1" ht="27.75" customHeight="1" x14ac:dyDescent="0.25">
      <c r="A538" s="71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69"/>
      <c r="AF538" s="68"/>
    </row>
    <row r="539" spans="1:32" s="67" customFormat="1" ht="30" customHeight="1" x14ac:dyDescent="0.25">
      <c r="A539" s="71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69"/>
      <c r="AF539" s="68"/>
    </row>
    <row r="540" spans="1:32" s="67" customFormat="1" ht="30" customHeight="1" x14ac:dyDescent="0.25">
      <c r="A540" s="71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69"/>
      <c r="AF540" s="68"/>
    </row>
    <row r="541" spans="1:32" s="67" customFormat="1" ht="30" customHeight="1" x14ac:dyDescent="0.25">
      <c r="A541" s="71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69"/>
      <c r="AF541" s="68"/>
    </row>
    <row r="542" spans="1:32" s="67" customFormat="1" ht="30" customHeight="1" x14ac:dyDescent="0.25">
      <c r="A542" s="71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69"/>
      <c r="AF542" s="68"/>
    </row>
    <row r="543" spans="1:32" s="67" customFormat="1" ht="30" customHeight="1" x14ac:dyDescent="0.25">
      <c r="A543" s="71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69"/>
      <c r="AF543" s="68"/>
    </row>
    <row r="544" spans="1:32" s="67" customFormat="1" ht="30" customHeight="1" x14ac:dyDescent="0.25">
      <c r="A544" s="71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69"/>
      <c r="AF544" s="68"/>
    </row>
    <row r="545" spans="1:32" s="67" customFormat="1" ht="30" customHeight="1" x14ac:dyDescent="0.25">
      <c r="A545" s="71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69"/>
      <c r="AF545" s="68"/>
    </row>
    <row r="546" spans="1:32" s="67" customFormat="1" ht="30" customHeight="1" x14ac:dyDescent="0.25">
      <c r="A546" s="71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69"/>
      <c r="AF546" s="68"/>
    </row>
    <row r="547" spans="1:32" s="67" customFormat="1" ht="30" customHeight="1" x14ac:dyDescent="0.25">
      <c r="A547" s="71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69"/>
      <c r="AF547" s="68"/>
    </row>
    <row r="548" spans="1:32" s="67" customFormat="1" ht="30" customHeight="1" x14ac:dyDescent="0.25">
      <c r="A548" s="71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69"/>
      <c r="AF548" s="68"/>
    </row>
    <row r="549" spans="1:32" s="67" customFormat="1" ht="30" customHeight="1" x14ac:dyDescent="0.25">
      <c r="A549" s="71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69"/>
      <c r="AF549" s="68"/>
    </row>
    <row r="550" spans="1:32" s="67" customFormat="1" ht="30" customHeight="1" x14ac:dyDescent="0.25">
      <c r="A550" s="71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69"/>
      <c r="AF550" s="68"/>
    </row>
    <row r="551" spans="1:32" s="67" customFormat="1" ht="30" customHeight="1" x14ac:dyDescent="0.25">
      <c r="A551" s="71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69"/>
      <c r="AF551" s="68"/>
    </row>
    <row r="552" spans="1:32" s="67" customFormat="1" ht="30" customHeight="1" x14ac:dyDescent="0.25">
      <c r="A552" s="71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69"/>
      <c r="AF552" s="68"/>
    </row>
    <row r="553" spans="1:32" s="67" customFormat="1" ht="30" customHeight="1" x14ac:dyDescent="0.25">
      <c r="A553" s="71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69"/>
      <c r="AF553" s="68"/>
    </row>
    <row r="554" spans="1:32" s="67" customFormat="1" ht="30" customHeight="1" x14ac:dyDescent="0.25">
      <c r="A554" s="71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69"/>
      <c r="AF554" s="68"/>
    </row>
    <row r="555" spans="1:32" s="67" customFormat="1" ht="30" customHeight="1" x14ac:dyDescent="0.25">
      <c r="A555" s="71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69"/>
      <c r="AF555" s="68"/>
    </row>
    <row r="556" spans="1:32" s="67" customFormat="1" ht="30" customHeight="1" x14ac:dyDescent="0.25">
      <c r="A556" s="71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69"/>
      <c r="AF556" s="68"/>
    </row>
    <row r="557" spans="1:32" s="67" customFormat="1" ht="30" customHeight="1" x14ac:dyDescent="0.25">
      <c r="A557" s="71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69"/>
      <c r="AF557" s="68"/>
    </row>
    <row r="558" spans="1:32" s="67" customFormat="1" ht="30" customHeight="1" x14ac:dyDescent="0.25">
      <c r="A558" s="71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69"/>
      <c r="AF558" s="68"/>
    </row>
    <row r="559" spans="1:32" s="67" customFormat="1" ht="30" customHeight="1" x14ac:dyDescent="0.25">
      <c r="A559" s="71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69"/>
      <c r="AF559" s="68"/>
    </row>
    <row r="560" spans="1:32" s="67" customFormat="1" ht="30" customHeight="1" x14ac:dyDescent="0.25">
      <c r="A560" s="71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69"/>
      <c r="AF560" s="68"/>
    </row>
    <row r="561" spans="1:32" s="67" customFormat="1" ht="30" customHeight="1" x14ac:dyDescent="0.25">
      <c r="A561" s="71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69"/>
      <c r="AF561" s="68"/>
    </row>
    <row r="562" spans="1:32" s="67" customFormat="1" ht="30" customHeight="1" x14ac:dyDescent="0.25">
      <c r="A562" s="71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69"/>
      <c r="AF562" s="68"/>
    </row>
    <row r="563" spans="1:32" s="67" customFormat="1" ht="30" customHeight="1" x14ac:dyDescent="0.25">
      <c r="A563" s="71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69"/>
      <c r="AF563" s="68"/>
    </row>
    <row r="564" spans="1:32" s="67" customFormat="1" ht="30" customHeight="1" x14ac:dyDescent="0.25">
      <c r="A564" s="71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69"/>
      <c r="AF564" s="68"/>
    </row>
    <row r="565" spans="1:32" s="67" customFormat="1" ht="30" customHeight="1" x14ac:dyDescent="0.25">
      <c r="A565" s="71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69"/>
      <c r="AF565" s="68"/>
    </row>
    <row r="566" spans="1:32" s="67" customFormat="1" ht="30" customHeight="1" x14ac:dyDescent="0.25">
      <c r="A566" s="71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69"/>
      <c r="AF566" s="68"/>
    </row>
    <row r="567" spans="1:32" s="67" customFormat="1" ht="30" customHeight="1" x14ac:dyDescent="0.25">
      <c r="A567" s="71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69"/>
      <c r="AF567" s="68"/>
    </row>
    <row r="568" spans="1:32" s="67" customFormat="1" ht="30" customHeight="1" x14ac:dyDescent="0.25">
      <c r="A568" s="71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69"/>
      <c r="AF568" s="68"/>
    </row>
    <row r="569" spans="1:32" s="67" customFormat="1" ht="30" customHeight="1" x14ac:dyDescent="0.25">
      <c r="A569" s="71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69"/>
      <c r="AF569" s="68"/>
    </row>
    <row r="570" spans="1:32" s="67" customFormat="1" ht="30" customHeight="1" x14ac:dyDescent="0.25">
      <c r="A570" s="71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69"/>
      <c r="AF570" s="68"/>
    </row>
    <row r="571" spans="1:32" s="67" customFormat="1" ht="30" customHeight="1" x14ac:dyDescent="0.25">
      <c r="A571" s="71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69"/>
      <c r="AF571" s="68"/>
    </row>
    <row r="572" spans="1:32" s="67" customFormat="1" ht="30" customHeight="1" x14ac:dyDescent="0.25">
      <c r="A572" s="71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69"/>
      <c r="AF572" s="68"/>
    </row>
    <row r="573" spans="1:32" s="67" customFormat="1" ht="30" customHeight="1" x14ac:dyDescent="0.25">
      <c r="A573" s="71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69"/>
      <c r="AF573" s="68"/>
    </row>
    <row r="574" spans="1:32" s="67" customFormat="1" ht="30" customHeight="1" x14ac:dyDescent="0.25">
      <c r="A574" s="71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69"/>
      <c r="AF574" s="68"/>
    </row>
    <row r="575" spans="1:32" s="67" customFormat="1" ht="30" customHeight="1" x14ac:dyDescent="0.25">
      <c r="A575" s="71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69"/>
      <c r="AF575" s="68"/>
    </row>
    <row r="576" spans="1:32" s="67" customFormat="1" ht="30" customHeight="1" x14ac:dyDescent="0.25">
      <c r="A576" s="71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69"/>
      <c r="AF576" s="68"/>
    </row>
    <row r="577" spans="1:32" s="67" customFormat="1" ht="30" customHeight="1" x14ac:dyDescent="0.25">
      <c r="A577" s="71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69"/>
      <c r="AF577" s="68"/>
    </row>
    <row r="578" spans="1:32" s="67" customFormat="1" ht="30" customHeight="1" x14ac:dyDescent="0.25">
      <c r="A578" s="71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69"/>
      <c r="AF578" s="68"/>
    </row>
    <row r="579" spans="1:32" s="67" customFormat="1" ht="30" customHeight="1" x14ac:dyDescent="0.25">
      <c r="A579" s="71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69"/>
      <c r="AF579" s="68"/>
    </row>
    <row r="580" spans="1:32" s="67" customFormat="1" ht="30" customHeight="1" x14ac:dyDescent="0.25">
      <c r="A580" s="71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69"/>
      <c r="AF580" s="68"/>
    </row>
    <row r="581" spans="1:32" s="67" customFormat="1" ht="30" customHeight="1" x14ac:dyDescent="0.25">
      <c r="A581" s="71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69"/>
      <c r="AF581" s="68"/>
    </row>
    <row r="582" spans="1:32" s="67" customFormat="1" ht="30" customHeight="1" x14ac:dyDescent="0.25">
      <c r="A582" s="71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69"/>
      <c r="AF582" s="68"/>
    </row>
    <row r="583" spans="1:32" s="67" customFormat="1" ht="30" customHeight="1" x14ac:dyDescent="0.25">
      <c r="A583" s="71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69"/>
      <c r="AF583" s="68"/>
    </row>
    <row r="584" spans="1:32" s="67" customFormat="1" ht="30" customHeight="1" x14ac:dyDescent="0.25">
      <c r="A584" s="71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69"/>
      <c r="AF584" s="68"/>
    </row>
    <row r="585" spans="1:32" s="67" customFormat="1" ht="30" customHeight="1" x14ac:dyDescent="0.25">
      <c r="A585" s="71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69"/>
      <c r="AF585" s="68"/>
    </row>
    <row r="586" spans="1:32" s="67" customFormat="1" ht="30" customHeight="1" x14ac:dyDescent="0.25">
      <c r="A586" s="71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69"/>
      <c r="AF586" s="68"/>
    </row>
    <row r="587" spans="1:32" s="67" customFormat="1" ht="30" customHeight="1" x14ac:dyDescent="0.25">
      <c r="A587" s="71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69"/>
      <c r="AF587" s="68"/>
    </row>
    <row r="588" spans="1:32" s="67" customFormat="1" ht="30" customHeight="1" x14ac:dyDescent="0.25">
      <c r="A588" s="71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69"/>
      <c r="AF588" s="68"/>
    </row>
    <row r="589" spans="1:32" s="67" customFormat="1" ht="30" customHeight="1" x14ac:dyDescent="0.25">
      <c r="A589" s="71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69"/>
      <c r="AF589" s="68"/>
    </row>
    <row r="590" spans="1:32" s="67" customFormat="1" ht="30" customHeight="1" x14ac:dyDescent="0.25">
      <c r="A590" s="71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69"/>
      <c r="AF590" s="68"/>
    </row>
    <row r="591" spans="1:32" s="67" customFormat="1" ht="30" customHeight="1" x14ac:dyDescent="0.25">
      <c r="A591" s="71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69"/>
      <c r="AF591" s="68"/>
    </row>
    <row r="592" spans="1:32" s="67" customFormat="1" ht="27.75" customHeight="1" x14ac:dyDescent="0.25">
      <c r="A592" s="71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69"/>
      <c r="AF592" s="68"/>
    </row>
    <row r="593" spans="1:32" s="67" customFormat="1" ht="30" customHeight="1" x14ac:dyDescent="0.25">
      <c r="A593" s="71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69"/>
      <c r="AF593" s="68"/>
    </row>
    <row r="594" spans="1:32" s="67" customFormat="1" ht="30" customHeight="1" x14ac:dyDescent="0.25">
      <c r="A594" s="71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69"/>
      <c r="AF594" s="68"/>
    </row>
    <row r="595" spans="1:32" s="67" customFormat="1" ht="30" customHeight="1" x14ac:dyDescent="0.25">
      <c r="A595" s="71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69"/>
      <c r="AF595" s="68"/>
    </row>
    <row r="596" spans="1:32" s="67" customFormat="1" ht="30" customHeight="1" x14ac:dyDescent="0.25">
      <c r="A596" s="71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69"/>
      <c r="AF596" s="68"/>
    </row>
    <row r="597" spans="1:32" s="67" customFormat="1" ht="30" customHeight="1" x14ac:dyDescent="0.25">
      <c r="A597" s="71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69"/>
      <c r="AF597" s="68"/>
    </row>
    <row r="598" spans="1:32" s="67" customFormat="1" ht="30" customHeight="1" x14ac:dyDescent="0.25">
      <c r="A598" s="71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69"/>
      <c r="AF598" s="68"/>
    </row>
    <row r="599" spans="1:32" s="67" customFormat="1" ht="30" customHeight="1" x14ac:dyDescent="0.25">
      <c r="A599" s="71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69"/>
      <c r="AF599" s="68"/>
    </row>
    <row r="600" spans="1:32" s="67" customFormat="1" ht="30" customHeight="1" x14ac:dyDescent="0.25">
      <c r="A600" s="71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69"/>
      <c r="AF600" s="68"/>
    </row>
    <row r="601" spans="1:32" s="67" customFormat="1" ht="30" customHeight="1" x14ac:dyDescent="0.25">
      <c r="A601" s="71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69"/>
      <c r="AF601" s="68"/>
    </row>
    <row r="602" spans="1:32" s="67" customFormat="1" ht="30" customHeight="1" x14ac:dyDescent="0.25">
      <c r="A602" s="71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69"/>
      <c r="AF602" s="68"/>
    </row>
    <row r="603" spans="1:32" s="67" customFormat="1" ht="30" customHeight="1" x14ac:dyDescent="0.25">
      <c r="A603" s="71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69"/>
      <c r="AF603" s="68"/>
    </row>
    <row r="604" spans="1:32" s="67" customFormat="1" ht="30" customHeight="1" x14ac:dyDescent="0.25">
      <c r="A604" s="71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69"/>
      <c r="AF604" s="68"/>
    </row>
    <row r="605" spans="1:32" s="67" customFormat="1" ht="30" customHeight="1" x14ac:dyDescent="0.25">
      <c r="A605" s="71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69"/>
      <c r="AF605" s="68"/>
    </row>
    <row r="606" spans="1:32" s="67" customFormat="1" ht="30" customHeight="1" x14ac:dyDescent="0.25">
      <c r="A606" s="71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69"/>
      <c r="AF606" s="68"/>
    </row>
    <row r="607" spans="1:32" s="67" customFormat="1" ht="30" customHeight="1" x14ac:dyDescent="0.25">
      <c r="A607" s="71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69"/>
      <c r="AF607" s="68"/>
    </row>
    <row r="608" spans="1:32" s="67" customFormat="1" ht="30" customHeight="1" x14ac:dyDescent="0.25">
      <c r="A608" s="71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69"/>
      <c r="AF608" s="68"/>
    </row>
    <row r="609" spans="1:32" s="67" customFormat="1" ht="30" customHeight="1" x14ac:dyDescent="0.25">
      <c r="A609" s="71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69"/>
      <c r="AF609" s="68"/>
    </row>
    <row r="610" spans="1:32" s="67" customFormat="1" ht="30" customHeight="1" x14ac:dyDescent="0.25">
      <c r="A610" s="71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69"/>
      <c r="AF610" s="68"/>
    </row>
    <row r="611" spans="1:32" s="67" customFormat="1" ht="30" customHeight="1" x14ac:dyDescent="0.25">
      <c r="A611" s="71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69"/>
      <c r="AF611" s="68"/>
    </row>
    <row r="612" spans="1:32" s="67" customFormat="1" ht="30" customHeight="1" x14ac:dyDescent="0.25">
      <c r="A612" s="71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69"/>
      <c r="AF612" s="68"/>
    </row>
    <row r="613" spans="1:32" s="67" customFormat="1" ht="30" customHeight="1" x14ac:dyDescent="0.25">
      <c r="A613" s="71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69"/>
      <c r="AF613" s="68"/>
    </row>
    <row r="614" spans="1:32" s="67" customFormat="1" ht="30" customHeight="1" x14ac:dyDescent="0.25">
      <c r="A614" s="71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69"/>
      <c r="AF614" s="68"/>
    </row>
    <row r="615" spans="1:32" s="67" customFormat="1" ht="30" customHeight="1" x14ac:dyDescent="0.25">
      <c r="A615" s="71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69"/>
      <c r="AF615" s="68"/>
    </row>
    <row r="616" spans="1:32" s="67" customFormat="1" ht="30" customHeight="1" x14ac:dyDescent="0.25">
      <c r="A616" s="71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69"/>
      <c r="AF616" s="68"/>
    </row>
    <row r="617" spans="1:32" s="67" customFormat="1" ht="30" customHeight="1" x14ac:dyDescent="0.25">
      <c r="A617" s="71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69"/>
      <c r="AF617" s="68"/>
    </row>
    <row r="618" spans="1:32" s="67" customFormat="1" ht="30" customHeight="1" x14ac:dyDescent="0.25">
      <c r="A618" s="71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69"/>
      <c r="AF618" s="68"/>
    </row>
    <row r="619" spans="1:32" s="67" customFormat="1" ht="27.75" customHeight="1" x14ac:dyDescent="0.25">
      <c r="A619" s="71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69"/>
      <c r="AF619" s="68"/>
    </row>
    <row r="620" spans="1:32" s="67" customFormat="1" ht="30" customHeight="1" x14ac:dyDescent="0.25">
      <c r="A620" s="71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69"/>
      <c r="AF620" s="68"/>
    </row>
    <row r="621" spans="1:32" s="67" customFormat="1" ht="30" customHeight="1" x14ac:dyDescent="0.25">
      <c r="A621" s="71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69"/>
      <c r="AF621" s="68"/>
    </row>
    <row r="622" spans="1:32" s="67" customFormat="1" ht="30" customHeight="1" x14ac:dyDescent="0.25">
      <c r="A622" s="71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69"/>
      <c r="AF622" s="68"/>
    </row>
    <row r="623" spans="1:32" s="67" customFormat="1" ht="30" customHeight="1" x14ac:dyDescent="0.25">
      <c r="A623" s="71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69"/>
      <c r="AF623" s="68"/>
    </row>
    <row r="624" spans="1:32" s="67" customFormat="1" ht="30" customHeight="1" x14ac:dyDescent="0.25">
      <c r="A624" s="71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69"/>
      <c r="AF624" s="68"/>
    </row>
    <row r="625" spans="1:32" s="67" customFormat="1" ht="30" customHeight="1" x14ac:dyDescent="0.25">
      <c r="A625" s="71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69"/>
      <c r="AF625" s="68"/>
    </row>
    <row r="626" spans="1:32" s="67" customFormat="1" ht="30" customHeight="1" x14ac:dyDescent="0.25">
      <c r="A626" s="71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69"/>
      <c r="AF626" s="68"/>
    </row>
    <row r="627" spans="1:32" s="67" customFormat="1" ht="30" customHeight="1" x14ac:dyDescent="0.25">
      <c r="A627" s="71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69"/>
      <c r="AF627" s="68"/>
    </row>
    <row r="628" spans="1:32" s="67" customFormat="1" ht="30" customHeight="1" x14ac:dyDescent="0.25">
      <c r="A628" s="71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69"/>
      <c r="AF628" s="68"/>
    </row>
    <row r="629" spans="1:32" s="67" customFormat="1" ht="30" customHeight="1" x14ac:dyDescent="0.25">
      <c r="A629" s="71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69"/>
      <c r="AF629" s="68"/>
    </row>
    <row r="630" spans="1:32" s="67" customFormat="1" ht="30" customHeight="1" x14ac:dyDescent="0.25">
      <c r="A630" s="71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69"/>
      <c r="AF630" s="68"/>
    </row>
    <row r="631" spans="1:32" s="67" customFormat="1" ht="30" customHeight="1" x14ac:dyDescent="0.25">
      <c r="A631" s="71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69"/>
      <c r="AF631" s="68"/>
    </row>
    <row r="632" spans="1:32" s="67" customFormat="1" ht="30" customHeight="1" x14ac:dyDescent="0.25">
      <c r="A632" s="71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69"/>
      <c r="AF632" s="68"/>
    </row>
    <row r="633" spans="1:32" s="67" customFormat="1" ht="30" customHeight="1" x14ac:dyDescent="0.25">
      <c r="A633" s="71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69"/>
      <c r="AF633" s="68"/>
    </row>
    <row r="634" spans="1:32" s="67" customFormat="1" ht="30" customHeight="1" x14ac:dyDescent="0.25">
      <c r="A634" s="71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69"/>
      <c r="AF634" s="68"/>
    </row>
    <row r="635" spans="1:32" s="67" customFormat="1" ht="30" customHeight="1" x14ac:dyDescent="0.25">
      <c r="A635" s="71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69"/>
      <c r="AF635" s="68"/>
    </row>
    <row r="636" spans="1:32" s="67" customFormat="1" ht="30" customHeight="1" x14ac:dyDescent="0.25">
      <c r="A636" s="71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69"/>
      <c r="AF636" s="68"/>
    </row>
    <row r="637" spans="1:32" s="67" customFormat="1" ht="30" customHeight="1" x14ac:dyDescent="0.25">
      <c r="A637" s="71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69"/>
      <c r="AF637" s="68"/>
    </row>
    <row r="638" spans="1:32" s="67" customFormat="1" ht="30" customHeight="1" x14ac:dyDescent="0.25">
      <c r="A638" s="71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69"/>
      <c r="AF638" s="68"/>
    </row>
    <row r="639" spans="1:32" s="67" customFormat="1" ht="30" customHeight="1" x14ac:dyDescent="0.25">
      <c r="A639" s="71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69"/>
      <c r="AF639" s="68"/>
    </row>
    <row r="640" spans="1:32" s="67" customFormat="1" ht="30" customHeight="1" x14ac:dyDescent="0.25">
      <c r="A640" s="71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69"/>
      <c r="AF640" s="68"/>
    </row>
    <row r="641" spans="1:32" s="67" customFormat="1" ht="30" customHeight="1" x14ac:dyDescent="0.25">
      <c r="A641" s="71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69"/>
      <c r="AF641" s="68"/>
    </row>
    <row r="642" spans="1:32" s="67" customFormat="1" ht="30" customHeight="1" x14ac:dyDescent="0.25">
      <c r="A642" s="71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69"/>
      <c r="AF642" s="68"/>
    </row>
    <row r="643" spans="1:32" s="67" customFormat="1" ht="30" customHeight="1" x14ac:dyDescent="0.25">
      <c r="A643" s="71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69"/>
      <c r="AF643" s="68"/>
    </row>
    <row r="644" spans="1:32" s="67" customFormat="1" ht="30" customHeight="1" x14ac:dyDescent="0.25">
      <c r="A644" s="71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69"/>
      <c r="AF644" s="68"/>
    </row>
    <row r="645" spans="1:32" s="67" customFormat="1" ht="30" customHeight="1" x14ac:dyDescent="0.25">
      <c r="A645" s="71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69"/>
      <c r="AF645" s="68"/>
    </row>
    <row r="646" spans="1:32" s="67" customFormat="1" ht="27.75" customHeight="1" x14ac:dyDescent="0.25">
      <c r="A646" s="71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69"/>
      <c r="AF646" s="68"/>
    </row>
    <row r="647" spans="1:32" s="67" customFormat="1" ht="30" customHeight="1" x14ac:dyDescent="0.25">
      <c r="A647" s="71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69"/>
      <c r="AF647" s="68"/>
    </row>
    <row r="648" spans="1:32" s="67" customFormat="1" ht="30" customHeight="1" x14ac:dyDescent="0.25">
      <c r="A648" s="71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69"/>
      <c r="AF648" s="68"/>
    </row>
    <row r="649" spans="1:32" s="67" customFormat="1" ht="30" customHeight="1" x14ac:dyDescent="0.25">
      <c r="A649" s="71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69"/>
      <c r="AF649" s="68"/>
    </row>
    <row r="650" spans="1:32" s="67" customFormat="1" ht="30" customHeight="1" x14ac:dyDescent="0.25">
      <c r="A650" s="71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69"/>
      <c r="AF650" s="68"/>
    </row>
    <row r="651" spans="1:32" s="67" customFormat="1" ht="30" customHeight="1" x14ac:dyDescent="0.25">
      <c r="A651" s="71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69"/>
      <c r="AF651" s="68"/>
    </row>
    <row r="652" spans="1:32" s="67" customFormat="1" ht="30" customHeight="1" x14ac:dyDescent="0.25">
      <c r="A652" s="71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69"/>
      <c r="AF652" s="68"/>
    </row>
    <row r="653" spans="1:32" s="67" customFormat="1" ht="30" customHeight="1" x14ac:dyDescent="0.25">
      <c r="A653" s="71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69"/>
      <c r="AF653" s="68"/>
    </row>
    <row r="654" spans="1:32" s="67" customFormat="1" ht="30" customHeight="1" x14ac:dyDescent="0.25">
      <c r="A654" s="71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69"/>
      <c r="AF654" s="68"/>
    </row>
    <row r="655" spans="1:32" s="67" customFormat="1" ht="30" customHeight="1" x14ac:dyDescent="0.25">
      <c r="A655" s="71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69"/>
      <c r="AF655" s="68"/>
    </row>
    <row r="656" spans="1:32" s="67" customFormat="1" ht="30" customHeight="1" x14ac:dyDescent="0.25">
      <c r="A656" s="71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69"/>
      <c r="AF656" s="68"/>
    </row>
    <row r="657" spans="1:32" s="67" customFormat="1" ht="30" customHeight="1" x14ac:dyDescent="0.25">
      <c r="A657" s="71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69"/>
      <c r="AF657" s="68"/>
    </row>
    <row r="658" spans="1:32" s="67" customFormat="1" ht="30" customHeight="1" x14ac:dyDescent="0.25">
      <c r="A658" s="71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69"/>
      <c r="AF658" s="68"/>
    </row>
    <row r="659" spans="1:32" s="67" customFormat="1" ht="30" customHeight="1" x14ac:dyDescent="0.25">
      <c r="A659" s="71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69"/>
      <c r="AF659" s="68"/>
    </row>
    <row r="660" spans="1:32" s="67" customFormat="1" ht="30" customHeight="1" x14ac:dyDescent="0.25">
      <c r="A660" s="71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69"/>
      <c r="AF660" s="68"/>
    </row>
    <row r="661" spans="1:32" s="67" customFormat="1" ht="30" customHeight="1" x14ac:dyDescent="0.25">
      <c r="A661" s="71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69"/>
      <c r="AF661" s="68"/>
    </row>
    <row r="662" spans="1:32" s="67" customFormat="1" ht="30" customHeight="1" x14ac:dyDescent="0.25">
      <c r="A662" s="71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69"/>
      <c r="AF662" s="68"/>
    </row>
    <row r="663" spans="1:32" s="67" customFormat="1" ht="30" customHeight="1" x14ac:dyDescent="0.25">
      <c r="A663" s="71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69"/>
      <c r="AF663" s="68"/>
    </row>
    <row r="664" spans="1:32" s="67" customFormat="1" ht="30" customHeight="1" x14ac:dyDescent="0.25">
      <c r="A664" s="71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69"/>
      <c r="AF664" s="68"/>
    </row>
    <row r="665" spans="1:32" s="67" customFormat="1" ht="30" customHeight="1" x14ac:dyDescent="0.25">
      <c r="A665" s="71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69"/>
      <c r="AF665" s="68"/>
    </row>
    <row r="666" spans="1:32" s="67" customFormat="1" ht="30" customHeight="1" x14ac:dyDescent="0.25">
      <c r="A666" s="71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69"/>
      <c r="AF666" s="68"/>
    </row>
    <row r="667" spans="1:32" s="67" customFormat="1" ht="30" customHeight="1" x14ac:dyDescent="0.25">
      <c r="A667" s="71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69"/>
      <c r="AF667" s="68"/>
    </row>
    <row r="668" spans="1:32" s="67" customFormat="1" ht="30" customHeight="1" x14ac:dyDescent="0.25">
      <c r="A668" s="71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69"/>
      <c r="AF668" s="68"/>
    </row>
    <row r="669" spans="1:32" s="67" customFormat="1" ht="30" customHeight="1" x14ac:dyDescent="0.25">
      <c r="A669" s="71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69"/>
      <c r="AF669" s="68"/>
    </row>
    <row r="670" spans="1:32" s="67" customFormat="1" ht="30" customHeight="1" x14ac:dyDescent="0.25">
      <c r="A670" s="71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69"/>
      <c r="AF670" s="68"/>
    </row>
    <row r="671" spans="1:32" s="67" customFormat="1" ht="30" customHeight="1" x14ac:dyDescent="0.25">
      <c r="A671" s="71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69"/>
      <c r="AF671" s="68"/>
    </row>
    <row r="672" spans="1:32" s="67" customFormat="1" ht="30" customHeight="1" x14ac:dyDescent="0.25">
      <c r="A672" s="71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69"/>
      <c r="AF672" s="68"/>
    </row>
    <row r="673" spans="1:32" s="67" customFormat="1" ht="30" customHeight="1" x14ac:dyDescent="0.25">
      <c r="A673" s="71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69"/>
      <c r="AF673" s="68"/>
    </row>
    <row r="674" spans="1:32" s="67" customFormat="1" ht="30" customHeight="1" x14ac:dyDescent="0.25">
      <c r="A674" s="71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69"/>
      <c r="AF674" s="68"/>
    </row>
    <row r="675" spans="1:32" s="67" customFormat="1" ht="30" customHeight="1" x14ac:dyDescent="0.25">
      <c r="A675" s="71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69"/>
      <c r="AF675" s="68"/>
    </row>
    <row r="676" spans="1:32" s="67" customFormat="1" ht="30" customHeight="1" x14ac:dyDescent="0.25">
      <c r="A676" s="71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69"/>
      <c r="AF676" s="68"/>
    </row>
    <row r="677" spans="1:32" s="67" customFormat="1" ht="30" customHeight="1" x14ac:dyDescent="0.25">
      <c r="A677" s="71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69"/>
      <c r="AF677" s="68"/>
    </row>
    <row r="678" spans="1:32" s="67" customFormat="1" ht="30" customHeight="1" x14ac:dyDescent="0.25">
      <c r="A678" s="71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69"/>
      <c r="AF678" s="68"/>
    </row>
    <row r="679" spans="1:32" s="67" customFormat="1" ht="30" customHeight="1" x14ac:dyDescent="0.25">
      <c r="A679" s="71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69"/>
      <c r="AF679" s="68"/>
    </row>
    <row r="680" spans="1:32" s="67" customFormat="1" ht="30" customHeight="1" x14ac:dyDescent="0.25">
      <c r="A680" s="71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69"/>
      <c r="AF680" s="68"/>
    </row>
    <row r="681" spans="1:32" s="67" customFormat="1" ht="30" customHeight="1" x14ac:dyDescent="0.25">
      <c r="A681" s="71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69"/>
      <c r="AF681" s="68"/>
    </row>
    <row r="682" spans="1:32" s="67" customFormat="1" ht="30" customHeight="1" x14ac:dyDescent="0.25">
      <c r="A682" s="71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69"/>
      <c r="AF682" s="68"/>
    </row>
    <row r="683" spans="1:32" s="67" customFormat="1" ht="30" customHeight="1" x14ac:dyDescent="0.25">
      <c r="A683" s="71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69"/>
      <c r="AF683" s="68"/>
    </row>
    <row r="684" spans="1:32" s="67" customFormat="1" ht="30" customHeight="1" x14ac:dyDescent="0.25">
      <c r="A684" s="71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69"/>
      <c r="AF684" s="68"/>
    </row>
    <row r="685" spans="1:32" s="67" customFormat="1" ht="30" customHeight="1" x14ac:dyDescent="0.25">
      <c r="A685" s="71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69"/>
      <c r="AF685" s="68"/>
    </row>
    <row r="686" spans="1:32" s="67" customFormat="1" ht="30" customHeight="1" x14ac:dyDescent="0.25">
      <c r="A686" s="71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69"/>
      <c r="AF686" s="68"/>
    </row>
    <row r="687" spans="1:32" s="67" customFormat="1" ht="30" customHeight="1" x14ac:dyDescent="0.25">
      <c r="A687" s="71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69"/>
      <c r="AF687" s="68"/>
    </row>
    <row r="688" spans="1:32" s="67" customFormat="1" ht="30" customHeight="1" x14ac:dyDescent="0.25">
      <c r="A688" s="71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69"/>
      <c r="AF688" s="68"/>
    </row>
    <row r="689" spans="1:32" s="67" customFormat="1" ht="30" customHeight="1" x14ac:dyDescent="0.25">
      <c r="A689" s="71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69"/>
      <c r="AF689" s="68"/>
    </row>
    <row r="690" spans="1:32" s="67" customFormat="1" ht="30" customHeight="1" x14ac:dyDescent="0.25">
      <c r="A690" s="71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69"/>
      <c r="AF690" s="68"/>
    </row>
    <row r="691" spans="1:32" s="67" customFormat="1" ht="30" customHeight="1" x14ac:dyDescent="0.25">
      <c r="A691" s="71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69"/>
      <c r="AF691" s="68"/>
    </row>
    <row r="692" spans="1:32" s="67" customFormat="1" ht="30" customHeight="1" x14ac:dyDescent="0.25">
      <c r="A692" s="71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69"/>
      <c r="AF692" s="68"/>
    </row>
    <row r="693" spans="1:32" s="67" customFormat="1" ht="30" customHeight="1" x14ac:dyDescent="0.25">
      <c r="A693" s="71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69"/>
      <c r="AF693" s="68"/>
    </row>
    <row r="694" spans="1:32" s="67" customFormat="1" ht="30" customHeight="1" x14ac:dyDescent="0.25">
      <c r="A694" s="71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69"/>
      <c r="AF694" s="68"/>
    </row>
    <row r="695" spans="1:32" s="67" customFormat="1" ht="30" customHeight="1" x14ac:dyDescent="0.25">
      <c r="A695" s="71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69"/>
      <c r="AF695" s="68"/>
    </row>
    <row r="696" spans="1:32" s="67" customFormat="1" ht="30" customHeight="1" x14ac:dyDescent="0.25">
      <c r="A696" s="71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69"/>
      <c r="AF696" s="68"/>
    </row>
    <row r="697" spans="1:32" s="67" customFormat="1" ht="30" customHeight="1" x14ac:dyDescent="0.25">
      <c r="A697" s="71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69"/>
      <c r="AF697" s="68"/>
    </row>
    <row r="698" spans="1:32" s="67" customFormat="1" ht="30" customHeight="1" x14ac:dyDescent="0.25">
      <c r="A698" s="71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69"/>
      <c r="AF698" s="68"/>
    </row>
    <row r="699" spans="1:32" s="67" customFormat="1" ht="30" customHeight="1" x14ac:dyDescent="0.25">
      <c r="A699" s="71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69"/>
      <c r="AF699" s="68"/>
    </row>
    <row r="700" spans="1:32" s="67" customFormat="1" ht="30" customHeight="1" x14ac:dyDescent="0.25">
      <c r="A700" s="71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69"/>
      <c r="AF700" s="68"/>
    </row>
    <row r="701" spans="1:32" ht="31.5" hidden="1" customHeight="1" x14ac:dyDescent="0.25">
      <c r="A701" s="66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4"/>
      <c r="AF701" s="63"/>
    </row>
    <row r="702" spans="1:32" ht="31.5" hidden="1" customHeight="1" x14ac:dyDescent="0.25">
      <c r="A702" s="66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4"/>
      <c r="AF702" s="63"/>
    </row>
    <row r="703" spans="1:32" ht="31.5" customHeight="1" x14ac:dyDescent="0.25">
      <c r="A703" s="66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4"/>
      <c r="AF703" s="63"/>
    </row>
    <row r="704" spans="1:32" ht="31.5" customHeight="1" x14ac:dyDescent="0.25">
      <c r="A704" s="66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4"/>
      <c r="AF704" s="63"/>
    </row>
    <row r="705" spans="1:32" ht="31.5" customHeight="1" x14ac:dyDescent="0.25">
      <c r="A705" s="66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4"/>
      <c r="AF705" s="63"/>
    </row>
    <row r="706" spans="1:32" ht="31.5" customHeight="1" x14ac:dyDescent="0.25">
      <c r="A706" s="66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4"/>
      <c r="AF706" s="63"/>
    </row>
    <row r="707" spans="1:32" ht="31.5" customHeight="1" x14ac:dyDescent="0.25">
      <c r="A707" s="66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4"/>
      <c r="AF707" s="63"/>
    </row>
    <row r="708" spans="1:32" ht="31.5" customHeight="1" x14ac:dyDescent="0.25">
      <c r="A708" s="66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4"/>
      <c r="AF708" s="63"/>
    </row>
    <row r="709" spans="1:32" ht="31.5" customHeight="1" x14ac:dyDescent="0.25">
      <c r="A709" s="66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4"/>
      <c r="AF709" s="63"/>
    </row>
    <row r="710" spans="1:32" ht="31.5" customHeight="1" x14ac:dyDescent="0.25">
      <c r="A710" s="66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4"/>
      <c r="AF710" s="63"/>
    </row>
    <row r="711" spans="1:32" ht="31.5" customHeight="1" x14ac:dyDescent="0.25">
      <c r="A711" s="66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4"/>
      <c r="AF711" s="63"/>
    </row>
    <row r="712" spans="1:32" ht="31.5" customHeight="1" x14ac:dyDescent="0.25">
      <c r="A712" s="66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4"/>
      <c r="AF712" s="63"/>
    </row>
    <row r="713" spans="1:32" ht="31.5" customHeight="1" x14ac:dyDescent="0.25">
      <c r="A713" s="66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4"/>
      <c r="AF713" s="63"/>
    </row>
    <row r="714" spans="1:32" ht="31.5" customHeight="1" x14ac:dyDescent="0.25">
      <c r="A714" s="66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4"/>
      <c r="AF714" s="63"/>
    </row>
    <row r="715" spans="1:32" ht="31.5" customHeight="1" x14ac:dyDescent="0.25">
      <c r="A715" s="66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4"/>
      <c r="AF715" s="63"/>
    </row>
    <row r="716" spans="1:32" ht="31.5" customHeight="1" x14ac:dyDescent="0.25">
      <c r="A716" s="66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4"/>
      <c r="AF716" s="63"/>
    </row>
    <row r="717" spans="1:32" ht="31.5" customHeight="1" x14ac:dyDescent="0.25">
      <c r="A717" s="66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4"/>
      <c r="AF717" s="63"/>
    </row>
    <row r="718" spans="1:32" ht="31.5" customHeight="1" x14ac:dyDescent="0.25">
      <c r="A718" s="66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4"/>
      <c r="AF718" s="63"/>
    </row>
    <row r="719" spans="1:32" ht="31.5" customHeight="1" x14ac:dyDescent="0.25">
      <c r="A719" s="66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4"/>
      <c r="AF719" s="63"/>
    </row>
    <row r="720" spans="1:32" ht="31.5" customHeight="1" x14ac:dyDescent="0.25">
      <c r="A720" s="66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4"/>
      <c r="AF720" s="63"/>
    </row>
    <row r="721" spans="1:32" ht="31.5" customHeight="1" x14ac:dyDescent="0.25">
      <c r="A721" s="66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4"/>
      <c r="AF721" s="63"/>
    </row>
    <row r="722" spans="1:32" ht="31.5" customHeight="1" x14ac:dyDescent="0.25">
      <c r="A722" s="66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4"/>
      <c r="AF722" s="63"/>
    </row>
    <row r="723" spans="1:32" ht="31.5" customHeight="1" x14ac:dyDescent="0.25">
      <c r="A723" s="66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4"/>
      <c r="AF723" s="63"/>
    </row>
    <row r="724" spans="1:32" ht="31.5" customHeight="1" x14ac:dyDescent="0.25">
      <c r="A724" s="66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4"/>
      <c r="AF724" s="63"/>
    </row>
    <row r="725" spans="1:32" ht="31.5" customHeight="1" x14ac:dyDescent="0.25">
      <c r="A725" s="66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4"/>
      <c r="AF725" s="63"/>
    </row>
    <row r="726" spans="1:32" ht="31.5" customHeight="1" x14ac:dyDescent="0.25">
      <c r="A726" s="66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4"/>
      <c r="AF726" s="63"/>
    </row>
    <row r="727" spans="1:32" ht="31.5" customHeight="1" x14ac:dyDescent="0.25">
      <c r="A727" s="66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4"/>
      <c r="AF727" s="63"/>
    </row>
    <row r="728" spans="1:32" ht="31.5" customHeight="1" x14ac:dyDescent="0.25">
      <c r="A728" s="66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4"/>
      <c r="AF728" s="63"/>
    </row>
    <row r="729" spans="1:32" ht="31.5" customHeight="1" x14ac:dyDescent="0.25">
      <c r="A729" s="66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4"/>
      <c r="AF729" s="63"/>
    </row>
    <row r="730" spans="1:32" ht="31.5" customHeight="1" x14ac:dyDescent="0.25">
      <c r="A730" s="66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4"/>
      <c r="AF730" s="63"/>
    </row>
    <row r="731" spans="1:32" ht="31.5" customHeight="1" x14ac:dyDescent="0.25">
      <c r="A731" s="66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4"/>
      <c r="AF731" s="63"/>
    </row>
    <row r="732" spans="1:32" ht="31.5" customHeight="1" x14ac:dyDescent="0.25">
      <c r="A732" s="66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4"/>
      <c r="AF732" s="63"/>
    </row>
    <row r="733" spans="1:32" ht="31.5" customHeight="1" x14ac:dyDescent="0.25">
      <c r="A733" s="66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4"/>
      <c r="AF733" s="63"/>
    </row>
    <row r="734" spans="1:32" ht="31.5" customHeight="1" x14ac:dyDescent="0.25">
      <c r="A734" s="66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4"/>
      <c r="AF734" s="63"/>
    </row>
    <row r="735" spans="1:32" ht="31.5" customHeight="1" x14ac:dyDescent="0.25">
      <c r="A735" s="66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4"/>
      <c r="AF735" s="63"/>
    </row>
    <row r="736" spans="1:32" ht="31.5" customHeight="1" x14ac:dyDescent="0.25">
      <c r="A736" s="66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4"/>
      <c r="AF736" s="63"/>
    </row>
    <row r="737" spans="1:32" ht="31.5" customHeight="1" x14ac:dyDescent="0.25">
      <c r="A737" s="66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4"/>
      <c r="AF737" s="63"/>
    </row>
    <row r="738" spans="1:32" ht="31.5" customHeight="1" x14ac:dyDescent="0.25">
      <c r="A738" s="66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4"/>
      <c r="AF738" s="63"/>
    </row>
    <row r="739" spans="1:32" ht="31.5" customHeight="1" x14ac:dyDescent="0.25">
      <c r="A739" s="66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4"/>
      <c r="AF739" s="63"/>
    </row>
    <row r="740" spans="1:32" ht="31.5" customHeight="1" x14ac:dyDescent="0.25">
      <c r="A740" s="66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4"/>
      <c r="AF740" s="63"/>
    </row>
    <row r="741" spans="1:32" ht="31.5" customHeight="1" x14ac:dyDescent="0.25">
      <c r="A741" s="66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4"/>
      <c r="AF741" s="63"/>
    </row>
    <row r="742" spans="1:32" ht="31.5" customHeight="1" x14ac:dyDescent="0.25">
      <c r="A742" s="66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4"/>
      <c r="AF742" s="63"/>
    </row>
    <row r="743" spans="1:32" ht="31.5" customHeight="1" x14ac:dyDescent="0.25">
      <c r="A743" s="66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4"/>
      <c r="AF743" s="63"/>
    </row>
    <row r="744" spans="1:32" ht="31.5" customHeight="1" x14ac:dyDescent="0.25">
      <c r="A744" s="66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4"/>
      <c r="AF744" s="63"/>
    </row>
    <row r="745" spans="1:32" ht="31.5" customHeight="1" x14ac:dyDescent="0.25">
      <c r="A745" s="66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4"/>
      <c r="AF745" s="63"/>
    </row>
    <row r="746" spans="1:32" ht="31.5" customHeight="1" x14ac:dyDescent="0.25">
      <c r="A746" s="66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4"/>
      <c r="AF746" s="63"/>
    </row>
    <row r="747" spans="1:32" ht="31.5" customHeight="1" x14ac:dyDescent="0.25">
      <c r="A747" s="66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4"/>
      <c r="AF747" s="63"/>
    </row>
    <row r="748" spans="1:32" ht="31.5" customHeight="1" x14ac:dyDescent="0.25">
      <c r="A748" s="66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4"/>
      <c r="AF748" s="63"/>
    </row>
    <row r="749" spans="1:32" ht="31.5" customHeight="1" x14ac:dyDescent="0.25">
      <c r="A749" s="66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4"/>
      <c r="AF749" s="63"/>
    </row>
    <row r="750" spans="1:32" ht="31.5" customHeight="1" x14ac:dyDescent="0.25">
      <c r="A750" s="66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4"/>
      <c r="AF750" s="63"/>
    </row>
    <row r="751" spans="1:32" ht="31.5" customHeight="1" x14ac:dyDescent="0.25">
      <c r="A751" s="66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4"/>
      <c r="AF751" s="63"/>
    </row>
    <row r="752" spans="1:32" ht="31.5" customHeight="1" x14ac:dyDescent="0.25">
      <c r="A752" s="66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4"/>
      <c r="AF752" s="63"/>
    </row>
    <row r="753" spans="1:32" ht="31.5" customHeight="1" x14ac:dyDescent="0.25">
      <c r="A753" s="66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4"/>
      <c r="AF753" s="63"/>
    </row>
    <row r="754" spans="1:32" ht="31.5" customHeight="1" x14ac:dyDescent="0.25">
      <c r="A754" s="66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4"/>
      <c r="AF754" s="63"/>
    </row>
    <row r="755" spans="1:32" ht="31.5" customHeight="1" x14ac:dyDescent="0.25">
      <c r="A755" s="66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4"/>
      <c r="AF755" s="63"/>
    </row>
    <row r="756" spans="1:32" ht="31.5" customHeight="1" x14ac:dyDescent="0.25">
      <c r="A756" s="66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4"/>
      <c r="AF756" s="63"/>
    </row>
    <row r="757" spans="1:32" ht="31.5" customHeight="1" x14ac:dyDescent="0.25">
      <c r="A757" s="66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4"/>
      <c r="AF757" s="63"/>
    </row>
    <row r="758" spans="1:32" ht="31.5" customHeight="1" x14ac:dyDescent="0.25">
      <c r="A758" s="66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4"/>
      <c r="AF758" s="63"/>
    </row>
    <row r="759" spans="1:32" ht="31.5" customHeight="1" x14ac:dyDescent="0.25">
      <c r="A759" s="66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4"/>
      <c r="AF759" s="63"/>
    </row>
  </sheetData>
  <sheetProtection selectLockedCells="1" selectUnlockedCells="1"/>
  <autoFilter ref="A5:AF700" xr:uid="{00000000-0009-0000-0000-000003000000}"/>
  <mergeCells count="2">
    <mergeCell ref="A2:H2"/>
    <mergeCell ref="A1:F1"/>
  </mergeCells>
  <phoneticPr fontId="3" type="noConversion"/>
  <printOptions horizontalCentered="1"/>
  <pageMargins left="0.15748031496062992" right="0.15748031496062992" top="0.31496062992125984" bottom="3.937007874015748E-2" header="0.27559055118110237" footer="0.19685039370078741"/>
  <pageSetup paperSize="9" scale="14" fitToWidth="0" fitToHeight="0" orientation="landscape" horizontalDpi="4294967293" r:id="rId1"/>
  <headerFooter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D63A-EB8C-4F16-92BF-2DFD51D878B1}">
  <sheetPr>
    <tabColor rgb="FFFFFF00"/>
    <pageSetUpPr fitToPage="1"/>
  </sheetPr>
  <dimension ref="A1:AK948"/>
  <sheetViews>
    <sheetView topLeftCell="I1" zoomScale="30" zoomScaleNormal="30" zoomScaleSheetLayoutView="40" workbookViewId="0">
      <pane ySplit="5" topLeftCell="A357" activePane="bottomLeft" state="frozen"/>
      <selection activeCell="Z49" sqref="Z49"/>
      <selection pane="bottomLeft" activeCell="A357" sqref="A357:AE383"/>
    </sheetView>
  </sheetViews>
  <sheetFormatPr defaultColWidth="8.8984375" defaultRowHeight="33" x14ac:dyDescent="0.25"/>
  <cols>
    <col min="1" max="1" width="26.09765625" style="5" customWidth="1"/>
    <col min="2" max="2" width="36.3984375" style="4" customWidth="1"/>
    <col min="3" max="3" width="67.59765625" style="4" bestFit="1" customWidth="1"/>
    <col min="4" max="4" width="23" style="4" customWidth="1"/>
    <col min="5" max="8" width="15.59765625" style="4" customWidth="1"/>
    <col min="9" max="10" width="18.59765625" style="4" customWidth="1"/>
    <col min="11" max="11" width="24.19921875" style="2" customWidth="1"/>
    <col min="12" max="12" width="20.59765625" style="2" customWidth="1"/>
    <col min="13" max="13" width="15.59765625" style="2" customWidth="1"/>
    <col min="14" max="14" width="20.59765625" style="2" customWidth="1"/>
    <col min="15" max="15" width="18.59765625" style="2" customWidth="1"/>
    <col min="16" max="16" width="15.59765625" style="2" customWidth="1"/>
    <col min="17" max="17" width="21.5" style="2" customWidth="1"/>
    <col min="18" max="18" width="17.09765625" style="2" customWidth="1"/>
    <col min="19" max="21" width="15.59765625" style="2" customWidth="1"/>
    <col min="22" max="27" width="25.59765625" style="2" customWidth="1"/>
    <col min="28" max="28" width="15.59765625" style="2" customWidth="1"/>
    <col min="29" max="29" width="18.09765625" style="1" customWidth="1"/>
    <col min="30" max="30" width="19.8984375" style="1" customWidth="1"/>
    <col min="31" max="31" width="31.5" style="3" customWidth="1"/>
    <col min="32" max="32" width="26.8984375" style="1" customWidth="1"/>
    <col min="33" max="33" width="26.8984375" style="2" customWidth="1"/>
    <col min="34" max="34" width="15.59765625" style="1" customWidth="1"/>
    <col min="35" max="35" width="19.19921875" style="1" customWidth="1"/>
    <col min="36" max="36" width="21" style="1" customWidth="1"/>
    <col min="37" max="37" width="18" style="1" customWidth="1"/>
    <col min="38" max="16384" width="8.8984375" style="1"/>
  </cols>
  <sheetData>
    <row r="1" spans="1:37" s="48" customFormat="1" ht="32.25" customHeight="1" x14ac:dyDescent="0.25">
      <c r="A1" s="57" t="s">
        <v>70</v>
      </c>
      <c r="B1" s="56"/>
      <c r="C1" s="56"/>
      <c r="D1" s="56"/>
      <c r="E1" s="56"/>
      <c r="F1" s="56"/>
      <c r="G1" s="56"/>
      <c r="H1" s="56"/>
      <c r="I1" s="56"/>
      <c r="J1" s="56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E1" s="55"/>
      <c r="AG1" s="54"/>
    </row>
    <row r="2" spans="1:37" s="48" customFormat="1" ht="33" customHeight="1" x14ac:dyDescent="0.25">
      <c r="A2" s="53" t="s">
        <v>69</v>
      </c>
      <c r="B2" s="52"/>
      <c r="C2" s="52"/>
      <c r="D2" s="52"/>
      <c r="E2" s="52"/>
      <c r="F2" s="52"/>
      <c r="G2" s="52"/>
      <c r="H2" s="52"/>
      <c r="I2" s="52"/>
      <c r="J2" s="52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50"/>
      <c r="AD2" s="50"/>
      <c r="AE2" s="51"/>
      <c r="AF2" s="50"/>
      <c r="AG2" s="49"/>
    </row>
    <row r="3" spans="1:37" ht="24" customHeight="1" x14ac:dyDescent="0.7"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6"/>
      <c r="AC3" s="45"/>
      <c r="AD3" s="44"/>
    </row>
    <row r="4" spans="1:37" s="36" customFormat="1" ht="45.75" customHeight="1" x14ac:dyDescent="0.25">
      <c r="A4" s="43"/>
      <c r="B4" s="21" t="s">
        <v>64</v>
      </c>
      <c r="C4" s="42" t="s">
        <v>68</v>
      </c>
      <c r="D4" s="40"/>
      <c r="E4" s="42" t="s">
        <v>67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0"/>
      <c r="AF4" s="39" t="s">
        <v>66</v>
      </c>
      <c r="AG4" s="38"/>
      <c r="AH4" s="38"/>
      <c r="AI4" s="38"/>
      <c r="AJ4" s="37"/>
    </row>
    <row r="5" spans="1:37" s="29" customFormat="1" ht="128.25" customHeight="1" x14ac:dyDescent="0.25">
      <c r="A5" s="35" t="s">
        <v>65</v>
      </c>
      <c r="B5" s="34" t="s">
        <v>64</v>
      </c>
      <c r="C5" s="34" t="s">
        <v>63</v>
      </c>
      <c r="D5" s="34" t="s">
        <v>62</v>
      </c>
      <c r="E5" s="34" t="s">
        <v>61</v>
      </c>
      <c r="F5" s="34" t="s">
        <v>60</v>
      </c>
      <c r="G5" s="34" t="s">
        <v>59</v>
      </c>
      <c r="H5" s="34" t="s">
        <v>58</v>
      </c>
      <c r="I5" s="34" t="s">
        <v>57</v>
      </c>
      <c r="J5" s="34" t="s">
        <v>56</v>
      </c>
      <c r="K5" s="30" t="s">
        <v>55</v>
      </c>
      <c r="L5" s="34" t="s">
        <v>54</v>
      </c>
      <c r="M5" s="34" t="s">
        <v>53</v>
      </c>
      <c r="N5" s="34" t="s">
        <v>52</v>
      </c>
      <c r="O5" s="34" t="s">
        <v>51</v>
      </c>
      <c r="P5" s="34" t="s">
        <v>50</v>
      </c>
      <c r="Q5" s="34" t="s">
        <v>49</v>
      </c>
      <c r="R5" s="34" t="s">
        <v>48</v>
      </c>
      <c r="S5" s="34" t="s">
        <v>47</v>
      </c>
      <c r="T5" s="34" t="s">
        <v>46</v>
      </c>
      <c r="U5" s="34" t="s">
        <v>45</v>
      </c>
      <c r="V5" s="34" t="s">
        <v>44</v>
      </c>
      <c r="W5" s="34" t="s">
        <v>43</v>
      </c>
      <c r="X5" s="34" t="s">
        <v>42</v>
      </c>
      <c r="Y5" s="34" t="s">
        <v>41</v>
      </c>
      <c r="Z5" s="34" t="s">
        <v>40</v>
      </c>
      <c r="AA5" s="34" t="s">
        <v>39</v>
      </c>
      <c r="AB5" s="34" t="s">
        <v>38</v>
      </c>
      <c r="AC5" s="34" t="s">
        <v>37</v>
      </c>
      <c r="AD5" s="34" t="s">
        <v>36</v>
      </c>
      <c r="AE5" s="31" t="s">
        <v>31</v>
      </c>
      <c r="AF5" s="30" t="s">
        <v>35</v>
      </c>
      <c r="AG5" s="30" t="s">
        <v>34</v>
      </c>
      <c r="AH5" s="33" t="s">
        <v>33</v>
      </c>
      <c r="AI5" s="32" t="s">
        <v>32</v>
      </c>
      <c r="AJ5" s="31" t="s">
        <v>31</v>
      </c>
      <c r="AK5" s="30" t="s">
        <v>30</v>
      </c>
    </row>
    <row r="6" spans="1:37" s="7" customFormat="1" ht="39" customHeight="1" x14ac:dyDescent="0.25">
      <c r="A6" s="20">
        <v>46142</v>
      </c>
      <c r="B6" s="19" t="s">
        <v>1</v>
      </c>
      <c r="C6" s="25" t="s">
        <v>26</v>
      </c>
      <c r="D6" s="25">
        <v>1</v>
      </c>
      <c r="E6" s="24">
        <v>42</v>
      </c>
      <c r="F6" s="24">
        <v>33</v>
      </c>
      <c r="G6" s="24">
        <v>36</v>
      </c>
      <c r="H6" s="24"/>
      <c r="I6" s="24">
        <v>10</v>
      </c>
      <c r="J6" s="24"/>
      <c r="K6" s="15"/>
      <c r="L6" s="15"/>
      <c r="M6" s="15"/>
      <c r="N6" s="15"/>
      <c r="O6" s="15"/>
      <c r="P6" s="15"/>
      <c r="Q6" s="15"/>
      <c r="R6" s="15">
        <v>12</v>
      </c>
      <c r="S6" s="15"/>
      <c r="T6" s="15">
        <v>5</v>
      </c>
      <c r="U6" s="15"/>
      <c r="V6" s="15">
        <v>3</v>
      </c>
      <c r="W6" s="15"/>
      <c r="X6" s="15">
        <v>7</v>
      </c>
      <c r="Y6" s="15"/>
      <c r="Z6" s="15">
        <v>5</v>
      </c>
      <c r="AA6" s="15"/>
      <c r="AB6" s="15">
        <f>SUM(E6:AA6)</f>
        <v>153</v>
      </c>
      <c r="AC6" s="15">
        <v>502</v>
      </c>
      <c r="AD6" s="17">
        <f>SUM(AB6:AC6)</f>
        <v>655</v>
      </c>
      <c r="AE6" s="16">
        <f>AB6/AD6</f>
        <v>0.23358778625954199</v>
      </c>
      <c r="AF6" s="15">
        <v>505</v>
      </c>
      <c r="AG6" s="15">
        <v>0</v>
      </c>
      <c r="AH6" s="15">
        <v>16</v>
      </c>
      <c r="AI6" s="17">
        <f>AH6+AG6+AF6</f>
        <v>521</v>
      </c>
      <c r="AJ6" s="16">
        <f>(AG6+AH6)/AI6</f>
        <v>3.0710172744721688E-2</v>
      </c>
      <c r="AK6" s="15">
        <f>SUM(E6:W6)</f>
        <v>141</v>
      </c>
    </row>
    <row r="7" spans="1:37" s="7" customFormat="1" ht="39" customHeight="1" x14ac:dyDescent="0.25">
      <c r="A7" s="13">
        <v>46142</v>
      </c>
      <c r="B7" s="21" t="s">
        <v>1</v>
      </c>
      <c r="C7" s="11" t="s">
        <v>21</v>
      </c>
      <c r="D7" s="11">
        <v>2</v>
      </c>
      <c r="E7" s="6">
        <v>56</v>
      </c>
      <c r="F7" s="10">
        <v>28</v>
      </c>
      <c r="G7" s="10"/>
      <c r="H7" s="10">
        <v>10</v>
      </c>
      <c r="I7" s="10"/>
      <c r="J7" s="10">
        <v>30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>
        <v>27</v>
      </c>
      <c r="AA7" s="6"/>
      <c r="AB7" s="6">
        <f>SUM(E7:AA7)</f>
        <v>151</v>
      </c>
      <c r="AC7" s="6">
        <v>291</v>
      </c>
      <c r="AD7" s="9">
        <f>SUM(AB7:AC7)</f>
        <v>442</v>
      </c>
      <c r="AE7" s="8">
        <f>AB7/AD7</f>
        <v>0.34162895927601811</v>
      </c>
      <c r="AF7" s="14">
        <v>1021</v>
      </c>
      <c r="AG7" s="6">
        <v>3</v>
      </c>
      <c r="AH7" s="14">
        <v>18</v>
      </c>
      <c r="AI7" s="9">
        <f>AH7+AG7+AF7</f>
        <v>1042</v>
      </c>
      <c r="AJ7" s="8">
        <f>(AG7+AH7)/AI7</f>
        <v>2.0153550863723609E-2</v>
      </c>
      <c r="AK7" s="6">
        <f>SUM(E7:W7)</f>
        <v>124</v>
      </c>
    </row>
    <row r="8" spans="1:37" s="7" customFormat="1" ht="39" customHeight="1" x14ac:dyDescent="0.25">
      <c r="A8" s="13">
        <v>46142</v>
      </c>
      <c r="B8" s="21" t="s">
        <v>1</v>
      </c>
      <c r="C8" s="11" t="s">
        <v>9</v>
      </c>
      <c r="D8" s="11">
        <v>3</v>
      </c>
      <c r="E8" s="6">
        <v>56</v>
      </c>
      <c r="F8" s="10">
        <v>25</v>
      </c>
      <c r="G8" s="10">
        <v>32</v>
      </c>
      <c r="H8" s="10">
        <v>21</v>
      </c>
      <c r="I8" s="10"/>
      <c r="J8" s="10"/>
      <c r="K8" s="6"/>
      <c r="L8" s="6"/>
      <c r="M8" s="6"/>
      <c r="N8" s="6"/>
      <c r="O8" s="6"/>
      <c r="P8" s="6"/>
      <c r="Q8" s="6"/>
      <c r="R8" s="6"/>
      <c r="S8" s="6">
        <v>12</v>
      </c>
      <c r="T8" s="6"/>
      <c r="U8" s="6"/>
      <c r="V8" s="6"/>
      <c r="W8" s="6"/>
      <c r="X8" s="6"/>
      <c r="Y8" s="6"/>
      <c r="Z8" s="6">
        <v>21</v>
      </c>
      <c r="AA8" s="6"/>
      <c r="AB8" s="6">
        <f>SUM(E8:AA8)</f>
        <v>167</v>
      </c>
      <c r="AC8" s="6">
        <v>581</v>
      </c>
      <c r="AD8" s="9">
        <f>SUM(AB8:AC8)</f>
        <v>748</v>
      </c>
      <c r="AE8" s="8">
        <f>AB8/AD8</f>
        <v>0.2232620320855615</v>
      </c>
      <c r="AF8" s="6">
        <v>428</v>
      </c>
      <c r="AG8" s="6">
        <v>0</v>
      </c>
      <c r="AH8" s="6">
        <v>11</v>
      </c>
      <c r="AI8" s="9">
        <f>AH8+AG8+AF8</f>
        <v>439</v>
      </c>
      <c r="AJ8" s="8">
        <f>(AG8+AH8)/AI8</f>
        <v>2.5056947608200455E-2</v>
      </c>
      <c r="AK8" s="6">
        <f>SUM(E8:W8)</f>
        <v>146</v>
      </c>
    </row>
    <row r="9" spans="1:37" s="7" customFormat="1" ht="39" customHeight="1" x14ac:dyDescent="0.25">
      <c r="A9" s="13">
        <v>46142</v>
      </c>
      <c r="B9" s="21" t="s">
        <v>1</v>
      </c>
      <c r="C9" s="11" t="s">
        <v>28</v>
      </c>
      <c r="D9" s="11">
        <v>4</v>
      </c>
      <c r="E9" s="10">
        <v>20</v>
      </c>
      <c r="F9" s="10">
        <v>10</v>
      </c>
      <c r="G9" s="10">
        <v>53</v>
      </c>
      <c r="H9" s="10"/>
      <c r="I9" s="10"/>
      <c r="J9" s="10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37</v>
      </c>
      <c r="W9" s="6"/>
      <c r="X9" s="6">
        <v>11</v>
      </c>
      <c r="Y9" s="6"/>
      <c r="Z9" s="6"/>
      <c r="AA9" s="6"/>
      <c r="AB9" s="6">
        <f>SUM(E9:AA9)</f>
        <v>131</v>
      </c>
      <c r="AC9" s="6">
        <v>1063</v>
      </c>
      <c r="AD9" s="9">
        <f>SUM(AB9:AC9)</f>
        <v>1194</v>
      </c>
      <c r="AE9" s="8">
        <f>AB9/AD9</f>
        <v>0.10971524288107203</v>
      </c>
      <c r="AF9" s="14">
        <v>1450</v>
      </c>
      <c r="AG9" s="6">
        <v>10</v>
      </c>
      <c r="AH9" s="14">
        <v>12</v>
      </c>
      <c r="AI9" s="9">
        <f>AH9+AG9+AF9</f>
        <v>1472</v>
      </c>
      <c r="AJ9" s="8">
        <f>(AG9+AH9)/AI9</f>
        <v>1.4945652173913044E-2</v>
      </c>
      <c r="AK9" s="6">
        <f>SUM(E9:W9)</f>
        <v>120</v>
      </c>
    </row>
    <row r="10" spans="1:37" s="7" customFormat="1" ht="39" customHeight="1" x14ac:dyDescent="0.25">
      <c r="A10" s="13">
        <v>46142</v>
      </c>
      <c r="B10" s="12" t="s">
        <v>1</v>
      </c>
      <c r="C10" s="11" t="s">
        <v>16</v>
      </c>
      <c r="D10" s="21">
        <v>5</v>
      </c>
      <c r="E10" s="10">
        <v>123</v>
      </c>
      <c r="F10" s="10">
        <v>147</v>
      </c>
      <c r="G10" s="10">
        <v>20</v>
      </c>
      <c r="H10" s="10">
        <v>18</v>
      </c>
      <c r="I10" s="10"/>
      <c r="J10" s="10"/>
      <c r="K10" s="6"/>
      <c r="L10" s="6"/>
      <c r="M10" s="6"/>
      <c r="N10" s="6"/>
      <c r="O10" s="6"/>
      <c r="P10" s="6"/>
      <c r="Q10" s="6"/>
      <c r="R10" s="6">
        <v>100</v>
      </c>
      <c r="S10" s="6"/>
      <c r="T10" s="6"/>
      <c r="U10" s="6"/>
      <c r="V10" s="6"/>
      <c r="W10" s="6"/>
      <c r="X10" s="6"/>
      <c r="Y10" s="6"/>
      <c r="Z10" s="6">
        <v>88</v>
      </c>
      <c r="AA10" s="6"/>
      <c r="AB10" s="6">
        <f>SUM(E10:AA10)</f>
        <v>496</v>
      </c>
      <c r="AC10" s="6">
        <v>286</v>
      </c>
      <c r="AD10" s="9">
        <f>SUM(AB10:AC10)</f>
        <v>782</v>
      </c>
      <c r="AE10" s="8">
        <f>AB10/AD10</f>
        <v>0.63427109974424556</v>
      </c>
      <c r="AF10" s="6">
        <v>975</v>
      </c>
      <c r="AG10" s="6">
        <v>0</v>
      </c>
      <c r="AH10" s="6">
        <v>22</v>
      </c>
      <c r="AI10" s="9">
        <f>AH10+AG10+AF10</f>
        <v>997</v>
      </c>
      <c r="AJ10" s="8">
        <f>(AG10+AH10)/AI10</f>
        <v>2.2066198595787363E-2</v>
      </c>
      <c r="AK10" s="6">
        <f>SUM(E10:W10)</f>
        <v>408</v>
      </c>
    </row>
    <row r="11" spans="1:37" s="7" customFormat="1" ht="39" customHeight="1" x14ac:dyDescent="0.25">
      <c r="A11" s="13">
        <v>46142</v>
      </c>
      <c r="B11" s="21" t="s">
        <v>1</v>
      </c>
      <c r="C11" s="11" t="s">
        <v>15</v>
      </c>
      <c r="D11" s="11">
        <v>6</v>
      </c>
      <c r="E11" s="10">
        <v>113</v>
      </c>
      <c r="F11" s="10">
        <v>113</v>
      </c>
      <c r="G11" s="10"/>
      <c r="H11" s="10">
        <v>42</v>
      </c>
      <c r="I11" s="10">
        <v>28</v>
      </c>
      <c r="J11" s="10">
        <v>42</v>
      </c>
      <c r="K11" s="6"/>
      <c r="L11" s="6"/>
      <c r="M11" s="6"/>
      <c r="N11" s="6"/>
      <c r="O11" s="6"/>
      <c r="P11" s="6"/>
      <c r="Q11" s="6"/>
      <c r="R11" s="6">
        <f>18+24</f>
        <v>42</v>
      </c>
      <c r="S11" s="6"/>
      <c r="T11" s="6"/>
      <c r="U11" s="6"/>
      <c r="V11" s="6"/>
      <c r="W11" s="6"/>
      <c r="X11" s="6"/>
      <c r="Y11" s="6"/>
      <c r="Z11" s="6">
        <v>136</v>
      </c>
      <c r="AA11" s="6"/>
      <c r="AB11" s="6">
        <f>SUM(E11:AA11)</f>
        <v>516</v>
      </c>
      <c r="AC11" s="6">
        <v>405</v>
      </c>
      <c r="AD11" s="9">
        <f>SUM(AB11:AC11)</f>
        <v>921</v>
      </c>
      <c r="AE11" s="8">
        <f>AB11/AD11</f>
        <v>0.56026058631921827</v>
      </c>
      <c r="AF11" s="6">
        <v>926</v>
      </c>
      <c r="AG11" s="6">
        <v>1</v>
      </c>
      <c r="AH11" s="6">
        <v>17</v>
      </c>
      <c r="AI11" s="9">
        <f>AH11+AG11+AF11</f>
        <v>944</v>
      </c>
      <c r="AJ11" s="8">
        <f>(AG11+AH11)/AI11</f>
        <v>1.9067796610169493E-2</v>
      </c>
      <c r="AK11" s="6">
        <f>SUM(E11:W11)</f>
        <v>380</v>
      </c>
    </row>
    <row r="12" spans="1:37" s="7" customFormat="1" ht="39" customHeight="1" x14ac:dyDescent="0.25">
      <c r="A12" s="13">
        <v>46142</v>
      </c>
      <c r="B12" s="12" t="s">
        <v>1</v>
      </c>
      <c r="C12" s="11" t="s">
        <v>27</v>
      </c>
      <c r="D12" s="11">
        <v>7</v>
      </c>
      <c r="E12" s="10">
        <v>135</v>
      </c>
      <c r="F12" s="10">
        <v>105</v>
      </c>
      <c r="G12" s="10">
        <v>30</v>
      </c>
      <c r="H12" s="10">
        <v>70</v>
      </c>
      <c r="I12" s="10"/>
      <c r="J12" s="10"/>
      <c r="K12" s="6"/>
      <c r="L12" s="6"/>
      <c r="M12" s="6"/>
      <c r="N12" s="6"/>
      <c r="O12" s="6"/>
      <c r="P12" s="6"/>
      <c r="Q12" s="6"/>
      <c r="R12" s="6">
        <v>40</v>
      </c>
      <c r="S12" s="6"/>
      <c r="T12" s="6"/>
      <c r="U12" s="6"/>
      <c r="V12" s="6"/>
      <c r="W12" s="6"/>
      <c r="X12" s="6"/>
      <c r="Y12" s="6"/>
      <c r="Z12" s="6">
        <v>44</v>
      </c>
      <c r="AA12" s="6"/>
      <c r="AB12" s="6">
        <f>SUM(E12:AA12)</f>
        <v>424</v>
      </c>
      <c r="AC12" s="6">
        <v>490</v>
      </c>
      <c r="AD12" s="9">
        <f>SUM(AB12:AC12)</f>
        <v>914</v>
      </c>
      <c r="AE12" s="8">
        <f>AB12/AD12</f>
        <v>0.46389496717724288</v>
      </c>
      <c r="AF12" s="14">
        <v>1029</v>
      </c>
      <c r="AG12" s="6">
        <v>12</v>
      </c>
      <c r="AH12" s="14">
        <v>11</v>
      </c>
      <c r="AI12" s="9">
        <f>AH12+AG12+AF12</f>
        <v>1052</v>
      </c>
      <c r="AJ12" s="8">
        <f>(AG12+AH12)/AI12</f>
        <v>2.1863117870722433E-2</v>
      </c>
      <c r="AK12" s="6">
        <f>SUM(E12:W12)</f>
        <v>380</v>
      </c>
    </row>
    <row r="13" spans="1:37" s="7" customFormat="1" ht="39" customHeight="1" x14ac:dyDescent="0.25">
      <c r="A13" s="13">
        <v>46142</v>
      </c>
      <c r="B13" s="12" t="s">
        <v>1</v>
      </c>
      <c r="C13" s="11" t="s">
        <v>13</v>
      </c>
      <c r="D13" s="11">
        <v>8</v>
      </c>
      <c r="E13" s="10">
        <v>148</v>
      </c>
      <c r="F13" s="10">
        <v>119</v>
      </c>
      <c r="G13" s="10">
        <v>23</v>
      </c>
      <c r="H13" s="10">
        <v>68</v>
      </c>
      <c r="I13" s="10"/>
      <c r="J13" s="10">
        <v>31</v>
      </c>
      <c r="K13" s="6"/>
      <c r="L13" s="6"/>
      <c r="M13" s="6"/>
      <c r="N13" s="6"/>
      <c r="O13" s="6"/>
      <c r="P13" s="6"/>
      <c r="Q13" s="6"/>
      <c r="R13" s="6">
        <v>47</v>
      </c>
      <c r="S13" s="6"/>
      <c r="T13" s="6"/>
      <c r="U13" s="6"/>
      <c r="V13" s="6"/>
      <c r="W13" s="6"/>
      <c r="X13" s="6"/>
      <c r="Y13" s="6"/>
      <c r="Z13" s="6">
        <v>73</v>
      </c>
      <c r="AA13" s="6"/>
      <c r="AB13" s="6">
        <f>SUM(E13:AA13)</f>
        <v>509</v>
      </c>
      <c r="AC13" s="6">
        <v>486</v>
      </c>
      <c r="AD13" s="9">
        <f>SUM(AB13:AC13)</f>
        <v>995</v>
      </c>
      <c r="AE13" s="8">
        <f>AB13/AD13</f>
        <v>0.51155778894472359</v>
      </c>
      <c r="AF13" s="6">
        <v>1040</v>
      </c>
      <c r="AG13" s="6">
        <v>3</v>
      </c>
      <c r="AH13" s="6">
        <v>13</v>
      </c>
      <c r="AI13" s="9">
        <f>AH13+AG13+AF13</f>
        <v>1056</v>
      </c>
      <c r="AJ13" s="8">
        <f>(AG13+AH13)/AI13</f>
        <v>1.5151515151515152E-2</v>
      </c>
      <c r="AK13" s="6">
        <f>SUM(E13:W13)</f>
        <v>436</v>
      </c>
    </row>
    <row r="14" spans="1:37" s="7" customFormat="1" ht="39" customHeight="1" x14ac:dyDescent="0.25">
      <c r="A14" s="13">
        <v>46142</v>
      </c>
      <c r="B14" s="21" t="s">
        <v>1</v>
      </c>
      <c r="C14" s="11" t="s">
        <v>12</v>
      </c>
      <c r="D14" s="11">
        <v>9</v>
      </c>
      <c r="E14" s="10">
        <v>55</v>
      </c>
      <c r="F14" s="10">
        <v>127</v>
      </c>
      <c r="G14" s="10">
        <v>196</v>
      </c>
      <c r="H14" s="10"/>
      <c r="I14" s="10"/>
      <c r="J14" s="10">
        <v>50</v>
      </c>
      <c r="K14" s="6">
        <v>40</v>
      </c>
      <c r="L14" s="6">
        <v>160</v>
      </c>
      <c r="M14" s="6"/>
      <c r="N14" s="6"/>
      <c r="O14" s="6"/>
      <c r="P14" s="6"/>
      <c r="Q14" s="6"/>
      <c r="R14" s="6">
        <v>127</v>
      </c>
      <c r="S14" s="6"/>
      <c r="T14" s="6"/>
      <c r="U14" s="6"/>
      <c r="V14" s="6"/>
      <c r="W14" s="6"/>
      <c r="X14" s="6">
        <v>11</v>
      </c>
      <c r="Y14" s="6"/>
      <c r="Z14" s="6">
        <v>74</v>
      </c>
      <c r="AA14" s="6"/>
      <c r="AB14" s="6">
        <f>SUM(E14:AA14)</f>
        <v>840</v>
      </c>
      <c r="AC14" s="6">
        <v>1432</v>
      </c>
      <c r="AD14" s="9">
        <f>SUM(AB14:AC14)</f>
        <v>2272</v>
      </c>
      <c r="AE14" s="8">
        <f>AB14/AD14</f>
        <v>0.36971830985915494</v>
      </c>
      <c r="AF14" s="14">
        <v>932</v>
      </c>
      <c r="AG14" s="6">
        <v>11</v>
      </c>
      <c r="AH14" s="14">
        <v>10</v>
      </c>
      <c r="AI14" s="9">
        <f>AH14+AG14+AF14</f>
        <v>953</v>
      </c>
      <c r="AJ14" s="8">
        <f>(AG14+AH14)/AI14</f>
        <v>2.2035676810073453E-2</v>
      </c>
      <c r="AK14" s="6">
        <f>SUM(E14:W14)</f>
        <v>755</v>
      </c>
    </row>
    <row r="15" spans="1:37" s="7" customFormat="1" ht="39" customHeight="1" x14ac:dyDescent="0.25">
      <c r="A15" s="13">
        <v>46142</v>
      </c>
      <c r="B15" s="12" t="s">
        <v>1</v>
      </c>
      <c r="C15" s="11" t="s">
        <v>0</v>
      </c>
      <c r="D15" s="11">
        <v>10</v>
      </c>
      <c r="E15" s="6">
        <v>58</v>
      </c>
      <c r="F15" s="10">
        <v>63</v>
      </c>
      <c r="G15" s="10">
        <v>23</v>
      </c>
      <c r="H15" s="10">
        <v>18</v>
      </c>
      <c r="I15" s="10"/>
      <c r="J15" s="10"/>
      <c r="K15" s="6"/>
      <c r="L15" s="6"/>
      <c r="M15" s="6"/>
      <c r="N15" s="6"/>
      <c r="O15" s="6"/>
      <c r="P15" s="6"/>
      <c r="Q15" s="6"/>
      <c r="R15" s="6">
        <v>19</v>
      </c>
      <c r="S15" s="6"/>
      <c r="T15" s="6"/>
      <c r="U15" s="6"/>
      <c r="V15" s="6">
        <v>33</v>
      </c>
      <c r="W15" s="6">
        <v>10</v>
      </c>
      <c r="X15" s="6"/>
      <c r="Y15" s="6"/>
      <c r="Z15" s="6">
        <v>21</v>
      </c>
      <c r="AA15" s="6"/>
      <c r="AB15" s="6">
        <f>SUM(E15:AA15)</f>
        <v>245</v>
      </c>
      <c r="AC15" s="6">
        <v>224</v>
      </c>
      <c r="AD15" s="9">
        <f>SUM(AB15:AC15)</f>
        <v>469</v>
      </c>
      <c r="AE15" s="8">
        <f>AB15/AD15</f>
        <v>0.52238805970149249</v>
      </c>
      <c r="AF15" s="6">
        <v>100</v>
      </c>
      <c r="AG15" s="6">
        <v>3</v>
      </c>
      <c r="AH15" s="6">
        <v>14</v>
      </c>
      <c r="AI15" s="9">
        <f>AH15+AG15+AF15</f>
        <v>117</v>
      </c>
      <c r="AJ15" s="8">
        <f>(AG15+AH15)/AI15</f>
        <v>0.14529914529914531</v>
      </c>
      <c r="AK15" s="6">
        <f>SUM(E15:W15)</f>
        <v>224</v>
      </c>
    </row>
    <row r="16" spans="1:37" s="7" customFormat="1" ht="39" customHeight="1" x14ac:dyDescent="0.25">
      <c r="A16" s="13">
        <v>46142</v>
      </c>
      <c r="B16" s="12" t="s">
        <v>1</v>
      </c>
      <c r="C16" s="11" t="s">
        <v>10</v>
      </c>
      <c r="D16" s="11">
        <v>11</v>
      </c>
      <c r="E16" s="10">
        <v>123</v>
      </c>
      <c r="F16" s="10">
        <v>113</v>
      </c>
      <c r="G16" s="10">
        <v>30</v>
      </c>
      <c r="H16" s="10">
        <v>57</v>
      </c>
      <c r="I16" s="10"/>
      <c r="J16" s="10"/>
      <c r="K16" s="6"/>
      <c r="L16" s="6"/>
      <c r="M16" s="6"/>
      <c r="N16" s="6"/>
      <c r="O16" s="6"/>
      <c r="P16" s="6"/>
      <c r="Q16" s="6"/>
      <c r="R16" s="6">
        <v>75</v>
      </c>
      <c r="S16" s="6"/>
      <c r="T16" s="6"/>
      <c r="U16" s="6"/>
      <c r="V16" s="6"/>
      <c r="W16" s="6"/>
      <c r="X16" s="6"/>
      <c r="Y16" s="6"/>
      <c r="Z16" s="6">
        <v>238</v>
      </c>
      <c r="AA16" s="6"/>
      <c r="AB16" s="6">
        <f>SUM(E16:AA16)</f>
        <v>636</v>
      </c>
      <c r="AC16" s="6">
        <v>158</v>
      </c>
      <c r="AD16" s="9">
        <f>SUM(AB16:AC16)</f>
        <v>794</v>
      </c>
      <c r="AE16" s="8">
        <f>AB16/AD16</f>
        <v>0.80100755667506296</v>
      </c>
      <c r="AF16" s="6">
        <v>965</v>
      </c>
      <c r="AG16" s="6">
        <v>0</v>
      </c>
      <c r="AH16" s="6">
        <v>11</v>
      </c>
      <c r="AI16" s="9">
        <f>AH16+AG16+AF16</f>
        <v>976</v>
      </c>
      <c r="AJ16" s="8">
        <f>(AG16+AH16)/AI16</f>
        <v>1.1270491803278689E-2</v>
      </c>
      <c r="AK16" s="6">
        <f>SUM(E16:W16)</f>
        <v>398</v>
      </c>
    </row>
    <row r="17" spans="1:37" s="7" customFormat="1" ht="39" customHeight="1" x14ac:dyDescent="0.25">
      <c r="A17" s="13">
        <v>46142</v>
      </c>
      <c r="B17" s="21" t="s">
        <v>1</v>
      </c>
      <c r="C17" s="11" t="s">
        <v>18</v>
      </c>
      <c r="D17" s="11">
        <v>13</v>
      </c>
      <c r="E17" s="10">
        <v>126</v>
      </c>
      <c r="F17" s="10">
        <v>102</v>
      </c>
      <c r="G17" s="10">
        <v>47</v>
      </c>
      <c r="H17" s="10">
        <v>39</v>
      </c>
      <c r="I17" s="10"/>
      <c r="J17" s="10">
        <v>14</v>
      </c>
      <c r="K17" s="6"/>
      <c r="L17" s="6"/>
      <c r="M17" s="6"/>
      <c r="N17" s="6"/>
      <c r="O17" s="6"/>
      <c r="P17" s="6"/>
      <c r="Q17" s="6"/>
      <c r="R17" s="6">
        <v>67</v>
      </c>
      <c r="S17" s="6"/>
      <c r="T17" s="6"/>
      <c r="U17" s="6"/>
      <c r="V17" s="6"/>
      <c r="W17" s="6"/>
      <c r="X17" s="6"/>
      <c r="Y17" s="6"/>
      <c r="Z17" s="6">
        <v>16</v>
      </c>
      <c r="AA17" s="6"/>
      <c r="AB17" s="6">
        <f>SUM(E17:AA17)</f>
        <v>411</v>
      </c>
      <c r="AC17" s="6">
        <v>243</v>
      </c>
      <c r="AD17" s="9">
        <f>SUM(AB17:AC17)</f>
        <v>654</v>
      </c>
      <c r="AE17" s="8">
        <f>AB17/AD17</f>
        <v>0.62844036697247707</v>
      </c>
      <c r="AF17" s="6">
        <v>696</v>
      </c>
      <c r="AG17" s="6">
        <v>13</v>
      </c>
      <c r="AH17" s="6">
        <v>0</v>
      </c>
      <c r="AI17" s="9">
        <f>AH17+AG17+AF17</f>
        <v>709</v>
      </c>
      <c r="AJ17" s="8">
        <f>(AG17+AH17)/AI17</f>
        <v>1.8335684062059238E-2</v>
      </c>
      <c r="AK17" s="6">
        <f>SUM(E17:W17)</f>
        <v>395</v>
      </c>
    </row>
    <row r="18" spans="1:37" s="7" customFormat="1" ht="39" customHeight="1" x14ac:dyDescent="0.25">
      <c r="A18" s="13">
        <v>46142</v>
      </c>
      <c r="B18" s="21" t="s">
        <v>1</v>
      </c>
      <c r="C18" s="11" t="s">
        <v>8</v>
      </c>
      <c r="D18" s="11">
        <v>14</v>
      </c>
      <c r="E18" s="10">
        <v>27</v>
      </c>
      <c r="F18" s="10">
        <v>39</v>
      </c>
      <c r="G18" s="10">
        <v>35</v>
      </c>
      <c r="H18" s="10">
        <v>37</v>
      </c>
      <c r="I18" s="10"/>
      <c r="J18" s="10"/>
      <c r="K18" s="6"/>
      <c r="L18" s="6"/>
      <c r="M18" s="6"/>
      <c r="N18" s="6"/>
      <c r="O18" s="6"/>
      <c r="P18" s="6"/>
      <c r="Q18" s="6"/>
      <c r="R18" s="6">
        <v>38</v>
      </c>
      <c r="S18" s="6"/>
      <c r="T18" s="6">
        <v>2</v>
      </c>
      <c r="U18" s="6"/>
      <c r="V18" s="6">
        <v>27</v>
      </c>
      <c r="W18" s="6"/>
      <c r="X18" s="6"/>
      <c r="Y18" s="6"/>
      <c r="Z18" s="6">
        <v>18</v>
      </c>
      <c r="AA18" s="6"/>
      <c r="AB18" s="6">
        <f>SUM(E18:AA18)</f>
        <v>223</v>
      </c>
      <c r="AC18" s="6">
        <v>550</v>
      </c>
      <c r="AD18" s="9">
        <f>SUM(AB18:AC18)</f>
        <v>773</v>
      </c>
      <c r="AE18" s="8">
        <f>AB18/AD18</f>
        <v>0.28848641655886159</v>
      </c>
      <c r="AF18" s="14">
        <v>798</v>
      </c>
      <c r="AG18" s="6">
        <v>8</v>
      </c>
      <c r="AH18" s="14">
        <v>16</v>
      </c>
      <c r="AI18" s="9">
        <f>AH18+AG18+AF18</f>
        <v>822</v>
      </c>
      <c r="AJ18" s="8">
        <f>(AG18+AH18)/AI18</f>
        <v>2.9197080291970802E-2</v>
      </c>
      <c r="AK18" s="6">
        <f>SUM(E18:W18)</f>
        <v>205</v>
      </c>
    </row>
    <row r="19" spans="1:37" s="7" customFormat="1" ht="39" customHeight="1" x14ac:dyDescent="0.25">
      <c r="A19" s="13">
        <v>46142</v>
      </c>
      <c r="B19" s="12" t="s">
        <v>1</v>
      </c>
      <c r="C19" s="11" t="s">
        <v>7</v>
      </c>
      <c r="D19" s="11">
        <v>15</v>
      </c>
      <c r="E19" s="10">
        <v>36</v>
      </c>
      <c r="F19" s="10">
        <v>7</v>
      </c>
      <c r="G19" s="10">
        <v>47</v>
      </c>
      <c r="H19" s="10"/>
      <c r="I19" s="10"/>
      <c r="J19" s="10">
        <v>13</v>
      </c>
      <c r="K19" s="6"/>
      <c r="L19" s="6"/>
      <c r="M19" s="6"/>
      <c r="N19" s="6"/>
      <c r="O19" s="6"/>
      <c r="P19" s="6"/>
      <c r="Q19" s="6"/>
      <c r="R19" s="6">
        <v>10</v>
      </c>
      <c r="S19" s="6"/>
      <c r="T19" s="6">
        <v>8</v>
      </c>
      <c r="U19" s="6"/>
      <c r="V19" s="6">
        <v>22</v>
      </c>
      <c r="W19" s="6"/>
      <c r="X19" s="6"/>
      <c r="Y19" s="6"/>
      <c r="Z19" s="6">
        <v>14</v>
      </c>
      <c r="AA19" s="6"/>
      <c r="AB19" s="6">
        <f>SUM(E19:AA19)</f>
        <v>157</v>
      </c>
      <c r="AC19" s="6">
        <v>13</v>
      </c>
      <c r="AD19" s="9">
        <f>SUM(AB19:AC19)</f>
        <v>170</v>
      </c>
      <c r="AE19" s="8">
        <f>AB19/AD19</f>
        <v>0.92352941176470593</v>
      </c>
      <c r="AF19" s="14">
        <v>500</v>
      </c>
      <c r="AG19" s="6">
        <v>0</v>
      </c>
      <c r="AH19" s="14">
        <v>13</v>
      </c>
      <c r="AI19" s="9">
        <f>AH19+AG19+AF19</f>
        <v>513</v>
      </c>
      <c r="AJ19" s="8">
        <f>(AG19+AH19)/AI19</f>
        <v>2.5341130604288498E-2</v>
      </c>
      <c r="AK19" s="6">
        <f>SUM(E19:W19)</f>
        <v>143</v>
      </c>
    </row>
    <row r="20" spans="1:37" s="7" customFormat="1" ht="39" customHeight="1" x14ac:dyDescent="0.25">
      <c r="A20" s="13">
        <v>46142</v>
      </c>
      <c r="B20" s="21" t="s">
        <v>1</v>
      </c>
      <c r="C20" s="11" t="s">
        <v>10</v>
      </c>
      <c r="D20" s="11">
        <v>16</v>
      </c>
      <c r="E20" s="10">
        <v>78</v>
      </c>
      <c r="F20" s="10">
        <v>220</v>
      </c>
      <c r="G20" s="10">
        <v>135</v>
      </c>
      <c r="H20" s="10">
        <v>150</v>
      </c>
      <c r="I20" s="10"/>
      <c r="J20" s="10">
        <v>23</v>
      </c>
      <c r="K20" s="6"/>
      <c r="L20" s="6"/>
      <c r="M20" s="6"/>
      <c r="N20" s="6"/>
      <c r="O20" s="6"/>
      <c r="P20" s="6"/>
      <c r="Q20" s="6"/>
      <c r="R20" s="6">
        <v>100</v>
      </c>
      <c r="S20" s="6"/>
      <c r="T20" s="6"/>
      <c r="U20" s="6"/>
      <c r="V20" s="6"/>
      <c r="W20" s="6"/>
      <c r="X20" s="6"/>
      <c r="Y20" s="6"/>
      <c r="Z20" s="6">
        <v>30</v>
      </c>
      <c r="AA20" s="6"/>
      <c r="AB20" s="6">
        <f>SUM(E20:AA20)</f>
        <v>736</v>
      </c>
      <c r="AC20" s="6">
        <v>396</v>
      </c>
      <c r="AD20" s="9">
        <f>SUM(AB20:AC20)</f>
        <v>1132</v>
      </c>
      <c r="AE20" s="8">
        <f>AB20/AD20</f>
        <v>0.65017667844522964</v>
      </c>
      <c r="AF20" s="6">
        <v>690</v>
      </c>
      <c r="AG20" s="6">
        <v>0</v>
      </c>
      <c r="AH20" s="6">
        <v>19</v>
      </c>
      <c r="AI20" s="9">
        <f>AH20+AG20+AF20</f>
        <v>709</v>
      </c>
      <c r="AJ20" s="8">
        <f>(AG20+AH20)/AI20</f>
        <v>2.6798307475317348E-2</v>
      </c>
      <c r="AK20" s="6">
        <f>SUM(E20:W20)</f>
        <v>706</v>
      </c>
    </row>
    <row r="21" spans="1:37" s="7" customFormat="1" ht="39" customHeight="1" x14ac:dyDescent="0.25">
      <c r="A21" s="13">
        <v>46142</v>
      </c>
      <c r="B21" s="21" t="s">
        <v>1</v>
      </c>
      <c r="C21" s="11" t="s">
        <v>12</v>
      </c>
      <c r="D21" s="11">
        <v>17</v>
      </c>
      <c r="E21" s="21">
        <v>92</v>
      </c>
      <c r="F21" s="21">
        <v>95</v>
      </c>
      <c r="G21" s="21">
        <v>61</v>
      </c>
      <c r="H21" s="21">
        <v>56</v>
      </c>
      <c r="I21" s="21"/>
      <c r="J21" s="21"/>
      <c r="K21" s="21"/>
      <c r="L21" s="6">
        <v>8</v>
      </c>
      <c r="M21" s="21"/>
      <c r="N21" s="21"/>
      <c r="O21" s="21"/>
      <c r="P21" s="21"/>
      <c r="Q21" s="21"/>
      <c r="R21" s="6">
        <v>79</v>
      </c>
      <c r="S21" s="6"/>
      <c r="T21" s="6"/>
      <c r="U21" s="21"/>
      <c r="V21" s="21"/>
      <c r="W21" s="6"/>
      <c r="X21" s="6">
        <v>98</v>
      </c>
      <c r="Y21" s="6"/>
      <c r="Z21" s="6">
        <v>35</v>
      </c>
      <c r="AA21" s="6"/>
      <c r="AB21" s="6">
        <f>SUM(E21:AA21)</f>
        <v>524</v>
      </c>
      <c r="AC21" s="22">
        <v>827</v>
      </c>
      <c r="AD21" s="9">
        <f>SUM(AB21:AC21)</f>
        <v>1351</v>
      </c>
      <c r="AE21" s="8">
        <f>AB21/AD21</f>
        <v>0.38786084381939306</v>
      </c>
      <c r="AF21" s="6">
        <v>780</v>
      </c>
      <c r="AG21" s="6">
        <v>0</v>
      </c>
      <c r="AH21" s="6">
        <v>24</v>
      </c>
      <c r="AI21" s="9">
        <f>AH21+AG21+AF21</f>
        <v>804</v>
      </c>
      <c r="AJ21" s="8">
        <f>(AG21+AH21)/AI21</f>
        <v>2.9850746268656716E-2</v>
      </c>
      <c r="AK21" s="6">
        <f>SUM(E21:W21)</f>
        <v>391</v>
      </c>
    </row>
    <row r="22" spans="1:37" s="7" customFormat="1" ht="39" customHeight="1" x14ac:dyDescent="0.25">
      <c r="A22" s="13">
        <v>46142</v>
      </c>
      <c r="B22" s="21" t="s">
        <v>1</v>
      </c>
      <c r="C22" s="21" t="s">
        <v>6</v>
      </c>
      <c r="D22" s="21">
        <v>18</v>
      </c>
      <c r="E22" s="10">
        <v>13</v>
      </c>
      <c r="F22" s="10">
        <v>43</v>
      </c>
      <c r="G22" s="10">
        <v>38</v>
      </c>
      <c r="H22" s="10"/>
      <c r="I22" s="10"/>
      <c r="J22" s="10">
        <v>42</v>
      </c>
      <c r="K22" s="6"/>
      <c r="L22" s="6"/>
      <c r="M22" s="6"/>
      <c r="N22" s="6"/>
      <c r="O22" s="6"/>
      <c r="P22" s="6"/>
      <c r="Q22" s="6"/>
      <c r="R22" s="6">
        <v>27</v>
      </c>
      <c r="S22" s="6"/>
      <c r="T22" s="6"/>
      <c r="U22" s="6"/>
      <c r="V22" s="6"/>
      <c r="W22" s="6"/>
      <c r="X22" s="6"/>
      <c r="Y22" s="6"/>
      <c r="Z22" s="6">
        <v>40</v>
      </c>
      <c r="AA22" s="6"/>
      <c r="AB22" s="6">
        <f>SUM(E22:AA22)</f>
        <v>203</v>
      </c>
      <c r="AC22" s="6">
        <v>796</v>
      </c>
      <c r="AD22" s="9">
        <f>SUM(AB22:AC22)</f>
        <v>999</v>
      </c>
      <c r="AE22" s="8">
        <f>AB22/AD22</f>
        <v>0.2032032032032032</v>
      </c>
      <c r="AF22" s="6">
        <v>235</v>
      </c>
      <c r="AG22" s="6">
        <v>0</v>
      </c>
      <c r="AH22" s="6">
        <v>0</v>
      </c>
      <c r="AI22" s="9">
        <f>AH22+AG22+AF22</f>
        <v>235</v>
      </c>
      <c r="AJ22" s="8">
        <f>(AG22+AH22)/AI22</f>
        <v>0</v>
      </c>
      <c r="AK22" s="6">
        <f>SUM(E22:W22)</f>
        <v>163</v>
      </c>
    </row>
    <row r="23" spans="1:37" s="7" customFormat="1" ht="39" customHeight="1" x14ac:dyDescent="0.25">
      <c r="A23" s="13">
        <v>46142</v>
      </c>
      <c r="B23" s="21" t="s">
        <v>1</v>
      </c>
      <c r="C23" s="11" t="s">
        <v>10</v>
      </c>
      <c r="D23" s="11">
        <v>19</v>
      </c>
      <c r="E23" s="10">
        <v>43</v>
      </c>
      <c r="F23" s="10">
        <v>12</v>
      </c>
      <c r="G23" s="10"/>
      <c r="H23" s="10"/>
      <c r="I23" s="10">
        <v>32</v>
      </c>
      <c r="J23" s="10"/>
      <c r="K23" s="6">
        <v>10</v>
      </c>
      <c r="L23" s="6"/>
      <c r="M23" s="6"/>
      <c r="N23" s="6"/>
      <c r="O23" s="6"/>
      <c r="P23" s="6"/>
      <c r="Q23" s="6"/>
      <c r="R23" s="6">
        <v>21</v>
      </c>
      <c r="S23" s="6"/>
      <c r="T23" s="6"/>
      <c r="U23" s="6"/>
      <c r="V23" s="6"/>
      <c r="W23" s="6"/>
      <c r="X23" s="6"/>
      <c r="Y23" s="6"/>
      <c r="Z23" s="6">
        <v>32</v>
      </c>
      <c r="AA23" s="6"/>
      <c r="AB23" s="6">
        <f>SUM(E23:AA23)</f>
        <v>150</v>
      </c>
      <c r="AC23" s="6">
        <v>224</v>
      </c>
      <c r="AD23" s="9">
        <f>SUM(AB23:AC23)</f>
        <v>374</v>
      </c>
      <c r="AE23" s="8">
        <f>AB23/AD23</f>
        <v>0.40106951871657753</v>
      </c>
      <c r="AF23" s="14">
        <v>300</v>
      </c>
      <c r="AG23" s="6">
        <v>0</v>
      </c>
      <c r="AH23" s="14">
        <v>10</v>
      </c>
      <c r="AI23" s="9">
        <f>AH23+AG23+AF23</f>
        <v>310</v>
      </c>
      <c r="AJ23" s="8">
        <f>(AG23+AH23)/AI23</f>
        <v>3.2258064516129031E-2</v>
      </c>
      <c r="AK23" s="6">
        <f>SUM(E23:W23)</f>
        <v>118</v>
      </c>
    </row>
    <row r="24" spans="1:37" s="7" customFormat="1" ht="39" customHeight="1" x14ac:dyDescent="0.25">
      <c r="A24" s="13">
        <v>46142</v>
      </c>
      <c r="B24" s="21" t="s">
        <v>1</v>
      </c>
      <c r="C24" s="11" t="s">
        <v>9</v>
      </c>
      <c r="D24" s="11">
        <v>20</v>
      </c>
      <c r="E24" s="10">
        <v>14</v>
      </c>
      <c r="F24" s="10">
        <v>34</v>
      </c>
      <c r="G24" s="10">
        <v>42</v>
      </c>
      <c r="H24" s="10"/>
      <c r="I24" s="10">
        <v>63</v>
      </c>
      <c r="J24" s="10">
        <v>17</v>
      </c>
      <c r="K24" s="6"/>
      <c r="L24" s="6"/>
      <c r="M24" s="6"/>
      <c r="N24" s="6"/>
      <c r="O24" s="6">
        <v>54</v>
      </c>
      <c r="P24" s="6"/>
      <c r="Q24" s="6"/>
      <c r="R24" s="6">
        <v>58</v>
      </c>
      <c r="S24" s="6"/>
      <c r="T24" s="6"/>
      <c r="U24" s="6"/>
      <c r="V24" s="6"/>
      <c r="W24" s="6"/>
      <c r="X24" s="6"/>
      <c r="Y24" s="6"/>
      <c r="Z24" s="6">
        <v>43</v>
      </c>
      <c r="AA24" s="6"/>
      <c r="AB24" s="6">
        <f>SUM(E24:AA24)</f>
        <v>325</v>
      </c>
      <c r="AC24" s="6">
        <v>522</v>
      </c>
      <c r="AD24" s="9">
        <f>SUM(AB24:AC24)</f>
        <v>847</v>
      </c>
      <c r="AE24" s="8">
        <f>AB24/AD24</f>
        <v>0.38370720188902008</v>
      </c>
      <c r="AF24" s="6">
        <v>565</v>
      </c>
      <c r="AG24" s="6">
        <v>0</v>
      </c>
      <c r="AH24" s="6">
        <v>13</v>
      </c>
      <c r="AI24" s="9">
        <f>AH24+AG24+AF24</f>
        <v>578</v>
      </c>
      <c r="AJ24" s="8">
        <f>(AG24+AH24)/AI24</f>
        <v>2.2491349480968859E-2</v>
      </c>
      <c r="AK24" s="6">
        <f>SUM(E24:W24)</f>
        <v>282</v>
      </c>
    </row>
    <row r="25" spans="1:37" s="7" customFormat="1" ht="39" customHeight="1" x14ac:dyDescent="0.25">
      <c r="A25" s="13">
        <v>46142</v>
      </c>
      <c r="B25" s="21" t="s">
        <v>1</v>
      </c>
      <c r="C25" s="11" t="s">
        <v>29</v>
      </c>
      <c r="D25" s="11">
        <v>21</v>
      </c>
      <c r="E25" s="10">
        <v>70</v>
      </c>
      <c r="F25" s="10">
        <v>69</v>
      </c>
      <c r="G25" s="10"/>
      <c r="H25" s="10">
        <v>50</v>
      </c>
      <c r="I25" s="10"/>
      <c r="J25" s="10"/>
      <c r="K25" s="6">
        <v>60</v>
      </c>
      <c r="L25" s="6">
        <v>35</v>
      </c>
      <c r="M25" s="6">
        <v>85</v>
      </c>
      <c r="N25" s="6"/>
      <c r="O25" s="6"/>
      <c r="P25" s="6"/>
      <c r="Q25" s="6"/>
      <c r="R25" s="6">
        <v>110</v>
      </c>
      <c r="S25" s="6"/>
      <c r="T25" s="6">
        <v>65</v>
      </c>
      <c r="U25" s="6"/>
      <c r="V25" s="6"/>
      <c r="W25" s="6"/>
      <c r="X25" s="6"/>
      <c r="Y25" s="6"/>
      <c r="Z25" s="6">
        <v>64</v>
      </c>
      <c r="AA25" s="6"/>
      <c r="AB25" s="6">
        <f>SUM(E25:AA25)</f>
        <v>608</v>
      </c>
      <c r="AC25" s="6">
        <v>379</v>
      </c>
      <c r="AD25" s="9">
        <f>SUM(AB25:AC25)</f>
        <v>987</v>
      </c>
      <c r="AE25" s="8">
        <f>AB25/AD25</f>
        <v>0.61600810536980755</v>
      </c>
      <c r="AF25" s="6">
        <v>740</v>
      </c>
      <c r="AG25" s="6">
        <v>0</v>
      </c>
      <c r="AH25" s="6">
        <v>10</v>
      </c>
      <c r="AI25" s="9">
        <f>AH25+AG25+AF25</f>
        <v>750</v>
      </c>
      <c r="AJ25" s="8">
        <f>(AG25+AH25)/AI25</f>
        <v>1.3333333333333334E-2</v>
      </c>
      <c r="AK25" s="6">
        <f>SUM(E25:W25)</f>
        <v>544</v>
      </c>
    </row>
    <row r="26" spans="1:37" s="7" customFormat="1" ht="39" customHeight="1" x14ac:dyDescent="0.25">
      <c r="A26" s="13">
        <v>46142</v>
      </c>
      <c r="B26" s="21" t="s">
        <v>1</v>
      </c>
      <c r="C26" s="11" t="s">
        <v>8</v>
      </c>
      <c r="D26" s="11">
        <v>22</v>
      </c>
      <c r="E26" s="10">
        <v>62</v>
      </c>
      <c r="F26" s="10">
        <v>48</v>
      </c>
      <c r="G26" s="10">
        <v>18</v>
      </c>
      <c r="H26" s="10">
        <v>38</v>
      </c>
      <c r="I26" s="10">
        <v>4</v>
      </c>
      <c r="J26" s="10">
        <v>17</v>
      </c>
      <c r="K26" s="6"/>
      <c r="L26" s="6">
        <v>5</v>
      </c>
      <c r="M26" s="6"/>
      <c r="N26" s="6"/>
      <c r="O26" s="6"/>
      <c r="P26" s="6"/>
      <c r="Q26" s="6"/>
      <c r="R26" s="6">
        <f>5+36</f>
        <v>41</v>
      </c>
      <c r="S26" s="6"/>
      <c r="T26" s="6"/>
      <c r="U26" s="6"/>
      <c r="V26" s="6">
        <v>5</v>
      </c>
      <c r="W26" s="6"/>
      <c r="X26" s="6">
        <v>17</v>
      </c>
      <c r="Y26" s="6"/>
      <c r="Z26" s="6">
        <v>7</v>
      </c>
      <c r="AA26" s="6"/>
      <c r="AB26" s="6">
        <f>SUM(E26:AA26)</f>
        <v>262</v>
      </c>
      <c r="AC26" s="6">
        <v>520</v>
      </c>
      <c r="AD26" s="9">
        <f>SUM(AB26:AC26)</f>
        <v>782</v>
      </c>
      <c r="AE26" s="8">
        <f>AB26/AD26</f>
        <v>0.33503836317135549</v>
      </c>
      <c r="AF26" s="6">
        <v>662</v>
      </c>
      <c r="AG26" s="6">
        <v>0</v>
      </c>
      <c r="AH26" s="14">
        <v>17</v>
      </c>
      <c r="AI26" s="9">
        <f>AH26+AG26+AF26</f>
        <v>679</v>
      </c>
      <c r="AJ26" s="8">
        <f>(AG26+AH26)/AI26</f>
        <v>2.5036818851251842E-2</v>
      </c>
      <c r="AK26" s="6">
        <f>SUM(E26:W26)</f>
        <v>238</v>
      </c>
    </row>
    <row r="27" spans="1:37" s="7" customFormat="1" ht="39" customHeight="1" x14ac:dyDescent="0.25">
      <c r="A27" s="13">
        <v>46142</v>
      </c>
      <c r="B27" s="21" t="s">
        <v>1</v>
      </c>
      <c r="C27" s="11" t="s">
        <v>10</v>
      </c>
      <c r="D27" s="11">
        <v>23</v>
      </c>
      <c r="E27" s="10">
        <v>70</v>
      </c>
      <c r="F27" s="10">
        <v>87</v>
      </c>
      <c r="G27" s="10">
        <v>50</v>
      </c>
      <c r="H27" s="10">
        <v>50</v>
      </c>
      <c r="I27" s="10">
        <v>30</v>
      </c>
      <c r="J27" s="10"/>
      <c r="K27" s="6"/>
      <c r="L27" s="6">
        <v>25</v>
      </c>
      <c r="M27" s="6"/>
      <c r="N27" s="6"/>
      <c r="O27" s="6"/>
      <c r="P27" s="6"/>
      <c r="Q27" s="6"/>
      <c r="R27" s="6">
        <v>70</v>
      </c>
      <c r="S27" s="6"/>
      <c r="T27" s="6"/>
      <c r="U27" s="6"/>
      <c r="V27" s="6"/>
      <c r="W27" s="6"/>
      <c r="X27" s="6"/>
      <c r="Y27" s="6"/>
      <c r="Z27" s="6">
        <v>115</v>
      </c>
      <c r="AA27" s="6"/>
      <c r="AB27" s="6">
        <f>SUM(E27:AA27)</f>
        <v>497</v>
      </c>
      <c r="AC27" s="6">
        <v>246</v>
      </c>
      <c r="AD27" s="9">
        <f>SUM(AB27:AC27)</f>
        <v>743</v>
      </c>
      <c r="AE27" s="8">
        <f>AB27/AD27</f>
        <v>0.66890982503364738</v>
      </c>
      <c r="AF27" s="6">
        <v>810</v>
      </c>
      <c r="AG27" s="6">
        <v>0</v>
      </c>
      <c r="AH27" s="14">
        <v>18</v>
      </c>
      <c r="AI27" s="9">
        <f>AH27+AG27+AF27</f>
        <v>828</v>
      </c>
      <c r="AJ27" s="8">
        <f>(AG27+AH27)/AI27</f>
        <v>2.1739130434782608E-2</v>
      </c>
      <c r="AK27" s="6">
        <f>SUM(E27:W27)</f>
        <v>382</v>
      </c>
    </row>
    <row r="28" spans="1:37" s="7" customFormat="1" ht="39" customHeight="1" x14ac:dyDescent="0.25">
      <c r="A28" s="13">
        <v>46142</v>
      </c>
      <c r="B28" s="21" t="s">
        <v>1</v>
      </c>
      <c r="C28" s="11" t="s">
        <v>6</v>
      </c>
      <c r="D28" s="11">
        <v>24</v>
      </c>
      <c r="E28" s="10">
        <v>71</v>
      </c>
      <c r="F28" s="10">
        <v>19</v>
      </c>
      <c r="G28" s="10"/>
      <c r="H28" s="10">
        <v>7</v>
      </c>
      <c r="I28" s="10"/>
      <c r="J28" s="10">
        <v>10</v>
      </c>
      <c r="K28" s="6">
        <v>3</v>
      </c>
      <c r="L28" s="6"/>
      <c r="M28" s="6"/>
      <c r="N28" s="6">
        <v>8</v>
      </c>
      <c r="O28" s="6"/>
      <c r="P28" s="6"/>
      <c r="Q28" s="6"/>
      <c r="R28" s="6">
        <v>37</v>
      </c>
      <c r="S28" s="6"/>
      <c r="T28" s="6"/>
      <c r="U28" s="6"/>
      <c r="V28" s="6">
        <v>14</v>
      </c>
      <c r="W28" s="6"/>
      <c r="X28" s="6"/>
      <c r="Y28" s="6"/>
      <c r="Z28" s="6">
        <v>7</v>
      </c>
      <c r="AA28" s="6"/>
      <c r="AB28" s="6">
        <f>SUM(E28:AA28)</f>
        <v>176</v>
      </c>
      <c r="AC28" s="6">
        <v>750</v>
      </c>
      <c r="AD28" s="9">
        <f>SUM(AB28:AC28)</f>
        <v>926</v>
      </c>
      <c r="AE28" s="8">
        <f>AB28/AD28</f>
        <v>0.19006479481641469</v>
      </c>
      <c r="AF28" s="14">
        <v>320</v>
      </c>
      <c r="AG28" s="6">
        <v>12</v>
      </c>
      <c r="AH28" s="14">
        <v>12</v>
      </c>
      <c r="AI28" s="9">
        <f>AH28+AG28+AF28</f>
        <v>344</v>
      </c>
      <c r="AJ28" s="8">
        <f>(AG28+AH28)/AI28</f>
        <v>6.9767441860465115E-2</v>
      </c>
      <c r="AK28" s="6">
        <f>SUM(E28:W28)</f>
        <v>169</v>
      </c>
    </row>
    <row r="29" spans="1:37" s="7" customFormat="1" ht="39" customHeight="1" x14ac:dyDescent="0.25">
      <c r="A29" s="13">
        <v>46142</v>
      </c>
      <c r="B29" s="27" t="s">
        <v>5</v>
      </c>
      <c r="C29" s="27" t="s">
        <v>4</v>
      </c>
      <c r="D29" s="11">
        <v>25</v>
      </c>
      <c r="E29" s="10">
        <v>93</v>
      </c>
      <c r="F29" s="10">
        <v>51</v>
      </c>
      <c r="G29" s="10">
        <v>16</v>
      </c>
      <c r="H29" s="10">
        <v>9</v>
      </c>
      <c r="I29" s="10"/>
      <c r="J29" s="10">
        <v>30</v>
      </c>
      <c r="K29" s="6"/>
      <c r="L29" s="6"/>
      <c r="M29" s="6"/>
      <c r="N29" s="6"/>
      <c r="O29" s="6"/>
      <c r="P29" s="6"/>
      <c r="Q29" s="6"/>
      <c r="R29" s="6">
        <v>18</v>
      </c>
      <c r="S29" s="6"/>
      <c r="T29" s="6"/>
      <c r="U29" s="6"/>
      <c r="V29" s="6"/>
      <c r="W29" s="6"/>
      <c r="X29" s="6"/>
      <c r="Y29" s="6"/>
      <c r="Z29" s="6">
        <v>15</v>
      </c>
      <c r="AA29" s="6"/>
      <c r="AB29" s="6">
        <f>SUM(E29:AA29)</f>
        <v>232</v>
      </c>
      <c r="AC29" s="6">
        <v>202</v>
      </c>
      <c r="AD29" s="9">
        <f>SUM(AB29:AC29)</f>
        <v>434</v>
      </c>
      <c r="AE29" s="8">
        <f>AB29/AD29</f>
        <v>0.53456221198156684</v>
      </c>
      <c r="AF29" s="14">
        <v>650</v>
      </c>
      <c r="AG29" s="6">
        <v>15</v>
      </c>
      <c r="AH29" s="14">
        <v>11</v>
      </c>
      <c r="AI29" s="9">
        <f>AH29+AG29+AF29</f>
        <v>676</v>
      </c>
      <c r="AJ29" s="8">
        <f>(AG29+AH29)/AI29</f>
        <v>3.8461538461538464E-2</v>
      </c>
      <c r="AK29" s="6">
        <f>SUM(E29:W29)</f>
        <v>217</v>
      </c>
    </row>
    <row r="30" spans="1:37" s="7" customFormat="1" ht="39" customHeight="1" x14ac:dyDescent="0.25">
      <c r="A30" s="13">
        <v>46142</v>
      </c>
      <c r="B30" s="21" t="s">
        <v>1</v>
      </c>
      <c r="C30" s="11" t="s">
        <v>22</v>
      </c>
      <c r="D30" s="11">
        <v>26</v>
      </c>
      <c r="E30" s="10">
        <v>75</v>
      </c>
      <c r="F30" s="10">
        <v>161</v>
      </c>
      <c r="G30" s="10">
        <v>46</v>
      </c>
      <c r="H30" s="10"/>
      <c r="I30" s="10">
        <v>49</v>
      </c>
      <c r="J30" s="10">
        <v>63</v>
      </c>
      <c r="K30" s="6">
        <v>14</v>
      </c>
      <c r="L30" s="6"/>
      <c r="M30" s="6"/>
      <c r="N30" s="6"/>
      <c r="O30" s="6"/>
      <c r="P30" s="6"/>
      <c r="Q30" s="6"/>
      <c r="R30" s="6">
        <f>17+18</f>
        <v>35</v>
      </c>
      <c r="S30" s="6"/>
      <c r="T30" s="6"/>
      <c r="U30" s="6"/>
      <c r="V30" s="6"/>
      <c r="W30" s="6"/>
      <c r="X30" s="6">
        <v>10</v>
      </c>
      <c r="Y30" s="6"/>
      <c r="Z30" s="6">
        <v>26</v>
      </c>
      <c r="AA30" s="6"/>
      <c r="AB30" s="6">
        <f>SUM(E30:AA30)</f>
        <v>479</v>
      </c>
      <c r="AC30" s="6">
        <v>24</v>
      </c>
      <c r="AD30" s="9">
        <f>SUM(AB30:AC30)</f>
        <v>503</v>
      </c>
      <c r="AE30" s="8">
        <f>AB30/AD30</f>
        <v>0.95228628230616297</v>
      </c>
      <c r="AF30" s="6">
        <v>472</v>
      </c>
      <c r="AG30" s="6">
        <v>15</v>
      </c>
      <c r="AH30" s="6">
        <v>11</v>
      </c>
      <c r="AI30" s="9">
        <f>AH30+AG30+AF30</f>
        <v>498</v>
      </c>
      <c r="AJ30" s="8">
        <f>(AG30+AH30)/AI30</f>
        <v>5.2208835341365459E-2</v>
      </c>
      <c r="AK30" s="6">
        <f>SUM(E30:W30)</f>
        <v>443</v>
      </c>
    </row>
    <row r="31" spans="1:37" s="7" customFormat="1" ht="39" customHeight="1" x14ac:dyDescent="0.25">
      <c r="A31" s="13">
        <v>46142</v>
      </c>
      <c r="B31" s="21" t="s">
        <v>1</v>
      </c>
      <c r="C31" s="11" t="s">
        <v>10</v>
      </c>
      <c r="D31" s="11">
        <v>27</v>
      </c>
      <c r="E31" s="6">
        <v>27</v>
      </c>
      <c r="F31" s="10">
        <f>52+9</f>
        <v>61</v>
      </c>
      <c r="G31" s="10">
        <v>8</v>
      </c>
      <c r="H31" s="10"/>
      <c r="I31" s="10"/>
      <c r="J31" s="10"/>
      <c r="K31" s="6"/>
      <c r="L31" s="6">
        <v>5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>
        <v>9</v>
      </c>
      <c r="AA31" s="6"/>
      <c r="AB31" s="6">
        <f>SUM(E31:AA31)</f>
        <v>110</v>
      </c>
      <c r="AC31" s="6">
        <v>12</v>
      </c>
      <c r="AD31" s="9">
        <f>SUM(AB31:AC31)</f>
        <v>122</v>
      </c>
      <c r="AE31" s="8">
        <f>AB31/AD31</f>
        <v>0.90163934426229508</v>
      </c>
      <c r="AF31" s="14">
        <v>610</v>
      </c>
      <c r="AG31" s="6">
        <v>0</v>
      </c>
      <c r="AH31" s="14">
        <v>23</v>
      </c>
      <c r="AI31" s="9">
        <f>AH31+AG31+AF31</f>
        <v>633</v>
      </c>
      <c r="AJ31" s="8">
        <f>(AG31+AH31)/AI31</f>
        <v>3.6334913112164295E-2</v>
      </c>
      <c r="AK31" s="6">
        <f>SUM(E31:W31)</f>
        <v>101</v>
      </c>
    </row>
    <row r="32" spans="1:37" s="7" customFormat="1" ht="39" customHeight="1" x14ac:dyDescent="0.25">
      <c r="A32" s="13">
        <v>46142</v>
      </c>
      <c r="B32" s="21" t="s">
        <v>1</v>
      </c>
      <c r="C32" s="11" t="s">
        <v>0</v>
      </c>
      <c r="D32" s="11">
        <v>28</v>
      </c>
      <c r="E32" s="10">
        <v>135</v>
      </c>
      <c r="F32" s="10">
        <v>51</v>
      </c>
      <c r="G32" s="10"/>
      <c r="H32" s="10">
        <v>27</v>
      </c>
      <c r="I32" s="10">
        <v>21</v>
      </c>
      <c r="J32" s="10">
        <v>24</v>
      </c>
      <c r="K32" s="6"/>
      <c r="L32" s="6"/>
      <c r="M32" s="6"/>
      <c r="N32" s="6"/>
      <c r="O32" s="6"/>
      <c r="P32" s="6">
        <v>14</v>
      </c>
      <c r="Q32" s="6"/>
      <c r="R32" s="6">
        <v>17</v>
      </c>
      <c r="S32" s="6"/>
      <c r="T32" s="6"/>
      <c r="U32" s="6"/>
      <c r="V32" s="6"/>
      <c r="W32" s="6"/>
      <c r="X32" s="6"/>
      <c r="Y32" s="6"/>
      <c r="Z32" s="6">
        <v>85</v>
      </c>
      <c r="AA32" s="6"/>
      <c r="AB32" s="6">
        <f>SUM(E32:AA32)</f>
        <v>374</v>
      </c>
      <c r="AC32" s="6">
        <v>52</v>
      </c>
      <c r="AD32" s="9">
        <f>SUM(AB32:AC32)</f>
        <v>426</v>
      </c>
      <c r="AE32" s="8">
        <f>AB32/AD32</f>
        <v>0.8779342723004695</v>
      </c>
      <c r="AF32" s="6">
        <v>457</v>
      </c>
      <c r="AG32" s="6">
        <v>5</v>
      </c>
      <c r="AH32" s="6">
        <v>20</v>
      </c>
      <c r="AI32" s="9">
        <f>AH32+AG32+AF32</f>
        <v>482</v>
      </c>
      <c r="AJ32" s="8">
        <f>(AG32+AH32)/AI32</f>
        <v>5.1867219917012451E-2</v>
      </c>
      <c r="AK32" s="6">
        <f>SUM(E32:W32)</f>
        <v>289</v>
      </c>
    </row>
    <row r="33" spans="1:37" s="7" customFormat="1" ht="39.75" customHeight="1" x14ac:dyDescent="0.25">
      <c r="A33" s="20">
        <v>46144</v>
      </c>
      <c r="B33" s="19" t="s">
        <v>1</v>
      </c>
      <c r="C33" s="25" t="s">
        <v>26</v>
      </c>
      <c r="D33" s="25">
        <v>1</v>
      </c>
      <c r="E33" s="19">
        <v>27</v>
      </c>
      <c r="F33" s="19">
        <v>27</v>
      </c>
      <c r="G33" s="19">
        <v>28</v>
      </c>
      <c r="H33" s="19"/>
      <c r="I33" s="19"/>
      <c r="J33" s="19"/>
      <c r="K33" s="19"/>
      <c r="L33" s="15"/>
      <c r="M33" s="19"/>
      <c r="N33" s="19"/>
      <c r="O33" s="19"/>
      <c r="P33" s="19"/>
      <c r="Q33" s="19"/>
      <c r="R33" s="15">
        <v>7</v>
      </c>
      <c r="S33" s="15"/>
      <c r="T33" s="15"/>
      <c r="U33" s="19"/>
      <c r="V33" s="19">
        <v>3</v>
      </c>
      <c r="W33" s="15"/>
      <c r="X33" s="15"/>
      <c r="Y33" s="15"/>
      <c r="Z33" s="15">
        <v>5</v>
      </c>
      <c r="AA33" s="15"/>
      <c r="AB33" s="15">
        <f>SUM(E33:AA33)</f>
        <v>97</v>
      </c>
      <c r="AC33" s="18">
        <v>380</v>
      </c>
      <c r="AD33" s="17">
        <f>SUM(AB33:AC33)</f>
        <v>477</v>
      </c>
      <c r="AE33" s="16">
        <f>AB33/AD33</f>
        <v>0.20335429769392033</v>
      </c>
      <c r="AF33" s="15">
        <v>272</v>
      </c>
      <c r="AG33" s="15">
        <v>0</v>
      </c>
      <c r="AH33" s="15">
        <v>5</v>
      </c>
      <c r="AI33" s="17">
        <f>AH33+AG33+AF33</f>
        <v>277</v>
      </c>
      <c r="AJ33" s="16">
        <f>(AG33+AH33)/AI33</f>
        <v>1.8050541516245487E-2</v>
      </c>
      <c r="AK33" s="15">
        <f>SUM(E33:W33)</f>
        <v>92</v>
      </c>
    </row>
    <row r="34" spans="1:37" s="28" customFormat="1" ht="39.75" customHeight="1" x14ac:dyDescent="0.25">
      <c r="A34" s="13">
        <v>46144</v>
      </c>
      <c r="B34" s="21" t="s">
        <v>1</v>
      </c>
      <c r="C34" s="11" t="s">
        <v>21</v>
      </c>
      <c r="D34" s="11">
        <v>2</v>
      </c>
      <c r="E34" s="10">
        <f>4+5+3+3</f>
        <v>15</v>
      </c>
      <c r="F34" s="10">
        <v>9</v>
      </c>
      <c r="G34" s="10"/>
      <c r="H34" s="10">
        <v>2</v>
      </c>
      <c r="I34" s="10"/>
      <c r="J34" s="1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2</v>
      </c>
      <c r="AA34" s="6"/>
      <c r="AB34" s="6">
        <f>SUM(E34:AA34)</f>
        <v>28</v>
      </c>
      <c r="AC34" s="6">
        <v>192</v>
      </c>
      <c r="AD34" s="9">
        <f>SUM(AB34:AC34)</f>
        <v>220</v>
      </c>
      <c r="AE34" s="8">
        <f>AB34/AD34</f>
        <v>0.12727272727272726</v>
      </c>
      <c r="AF34" s="6">
        <v>430</v>
      </c>
      <c r="AG34" s="6">
        <v>2</v>
      </c>
      <c r="AH34" s="6">
        <v>6</v>
      </c>
      <c r="AI34" s="9">
        <f>AH34+AG34+AF34</f>
        <v>438</v>
      </c>
      <c r="AJ34" s="8">
        <f>(AG34+AH34)/AI34</f>
        <v>1.8264840182648401E-2</v>
      </c>
      <c r="AK34" s="6">
        <f>SUM(E34:W34)</f>
        <v>26</v>
      </c>
    </row>
    <row r="35" spans="1:37" s="28" customFormat="1" ht="39.75" customHeight="1" x14ac:dyDescent="0.25">
      <c r="A35" s="13">
        <v>46144</v>
      </c>
      <c r="B35" s="21" t="s">
        <v>1</v>
      </c>
      <c r="C35" s="11" t="s">
        <v>9</v>
      </c>
      <c r="D35" s="11">
        <v>3</v>
      </c>
      <c r="E35" s="10">
        <v>24</v>
      </c>
      <c r="F35" s="10">
        <v>27</v>
      </c>
      <c r="G35" s="10">
        <v>18</v>
      </c>
      <c r="H35" s="10">
        <v>10</v>
      </c>
      <c r="I35" s="10"/>
      <c r="J35" s="1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>
        <v>16</v>
      </c>
      <c r="AA35" s="6"/>
      <c r="AB35" s="6">
        <f>SUM(E35:AA35)</f>
        <v>95</v>
      </c>
      <c r="AC35" s="6">
        <v>411</v>
      </c>
      <c r="AD35" s="9">
        <f>SUM(AB35:AC35)</f>
        <v>506</v>
      </c>
      <c r="AE35" s="8">
        <f>AB35/AD35</f>
        <v>0.18774703557312253</v>
      </c>
      <c r="AF35" s="14">
        <v>592</v>
      </c>
      <c r="AG35" s="6">
        <v>0</v>
      </c>
      <c r="AH35" s="14">
        <v>10</v>
      </c>
      <c r="AI35" s="9">
        <f>AH35+AG35+AF35</f>
        <v>602</v>
      </c>
      <c r="AJ35" s="8">
        <f>(AG35+AH35)/AI35</f>
        <v>1.6611295681063124E-2</v>
      </c>
      <c r="AK35" s="6">
        <f>SUM(E35:W35)</f>
        <v>79</v>
      </c>
    </row>
    <row r="36" spans="1:37" s="28" customFormat="1" ht="39.75" customHeight="1" x14ac:dyDescent="0.25">
      <c r="A36" s="13">
        <v>46144</v>
      </c>
      <c r="B36" s="21" t="s">
        <v>1</v>
      </c>
      <c r="C36" s="11" t="s">
        <v>28</v>
      </c>
      <c r="D36" s="11">
        <v>4</v>
      </c>
      <c r="E36" s="10"/>
      <c r="F36" s="10">
        <v>20</v>
      </c>
      <c r="G36" s="10">
        <v>26</v>
      </c>
      <c r="H36" s="10"/>
      <c r="I36" s="10"/>
      <c r="J36" s="10"/>
      <c r="K36" s="6"/>
      <c r="L36" s="6"/>
      <c r="M36" s="6"/>
      <c r="N36" s="6">
        <v>42</v>
      </c>
      <c r="O36" s="6"/>
      <c r="P36" s="6"/>
      <c r="Q36" s="6"/>
      <c r="R36" s="6"/>
      <c r="S36" s="6"/>
      <c r="T36" s="6"/>
      <c r="U36" s="6"/>
      <c r="V36" s="6"/>
      <c r="W36" s="6"/>
      <c r="X36" s="6">
        <v>15</v>
      </c>
      <c r="Y36" s="6"/>
      <c r="Z36" s="6"/>
      <c r="AA36" s="6"/>
      <c r="AB36" s="6">
        <f>SUM(E36:AA36)</f>
        <v>103</v>
      </c>
      <c r="AC36" s="6">
        <v>709</v>
      </c>
      <c r="AD36" s="9">
        <f>SUM(AB36:AC36)</f>
        <v>812</v>
      </c>
      <c r="AE36" s="8">
        <f>AB36/AD36</f>
        <v>0.1268472906403941</v>
      </c>
      <c r="AF36" s="6">
        <v>890</v>
      </c>
      <c r="AG36" s="6">
        <v>3</v>
      </c>
      <c r="AH36" s="6">
        <v>0</v>
      </c>
      <c r="AI36" s="9">
        <f>AH36+AG36+AF36</f>
        <v>893</v>
      </c>
      <c r="AJ36" s="8">
        <f>(AG36+AH36)/AI36</f>
        <v>3.3594624860022394E-3</v>
      </c>
      <c r="AK36" s="6">
        <f>SUM(E36:W36)</f>
        <v>88</v>
      </c>
    </row>
    <row r="37" spans="1:37" s="28" customFormat="1" ht="39.75" customHeight="1" x14ac:dyDescent="0.25">
      <c r="A37" s="13">
        <v>46144</v>
      </c>
      <c r="B37" s="12" t="s">
        <v>1</v>
      </c>
      <c r="C37" s="11" t="s">
        <v>16</v>
      </c>
      <c r="D37" s="21">
        <v>5</v>
      </c>
      <c r="E37" s="10">
        <v>86</v>
      </c>
      <c r="F37" s="10">
        <v>77</v>
      </c>
      <c r="G37" s="10">
        <v>56</v>
      </c>
      <c r="H37" s="10">
        <v>72</v>
      </c>
      <c r="I37" s="10"/>
      <c r="J37" s="10"/>
      <c r="K37" s="6"/>
      <c r="L37" s="6"/>
      <c r="M37" s="6"/>
      <c r="N37" s="6"/>
      <c r="O37" s="6"/>
      <c r="P37" s="6"/>
      <c r="Q37" s="6"/>
      <c r="R37" s="6">
        <v>10</v>
      </c>
      <c r="S37" s="6"/>
      <c r="T37" s="6"/>
      <c r="U37" s="6"/>
      <c r="V37" s="6"/>
      <c r="W37" s="6"/>
      <c r="X37" s="6"/>
      <c r="Y37" s="6"/>
      <c r="Z37" s="6">
        <v>45</v>
      </c>
      <c r="AA37" s="6"/>
      <c r="AB37" s="6">
        <f>SUM(E37:AA37)</f>
        <v>346</v>
      </c>
      <c r="AC37" s="6">
        <v>165</v>
      </c>
      <c r="AD37" s="9">
        <f>SUM(AB37:AC37)</f>
        <v>511</v>
      </c>
      <c r="AE37" s="8">
        <f>AB37/AD37</f>
        <v>0.67710371819960857</v>
      </c>
      <c r="AF37" s="6">
        <v>560</v>
      </c>
      <c r="AG37" s="6">
        <v>0</v>
      </c>
      <c r="AH37" s="6">
        <v>11</v>
      </c>
      <c r="AI37" s="9">
        <f>AH37+AG37+AF37</f>
        <v>571</v>
      </c>
      <c r="AJ37" s="8">
        <f>(AG37+AH37)/AI37</f>
        <v>1.9264448336252189E-2</v>
      </c>
      <c r="AK37" s="6">
        <f>SUM(E37:W37)</f>
        <v>301</v>
      </c>
    </row>
    <row r="38" spans="1:37" s="28" customFormat="1" ht="39.75" customHeight="1" x14ac:dyDescent="0.25">
      <c r="A38" s="13">
        <v>46144</v>
      </c>
      <c r="B38" s="21" t="s">
        <v>1</v>
      </c>
      <c r="C38" s="11" t="s">
        <v>15</v>
      </c>
      <c r="D38" s="11">
        <v>6</v>
      </c>
      <c r="E38" s="10">
        <v>81</v>
      </c>
      <c r="F38" s="10">
        <v>98</v>
      </c>
      <c r="G38" s="10">
        <v>57</v>
      </c>
      <c r="H38" s="10">
        <v>46</v>
      </c>
      <c r="I38" s="10">
        <v>19</v>
      </c>
      <c r="J38" s="10">
        <v>11</v>
      </c>
      <c r="K38" s="6"/>
      <c r="L38" s="6"/>
      <c r="M38" s="6"/>
      <c r="N38" s="6"/>
      <c r="O38" s="6"/>
      <c r="P38" s="6"/>
      <c r="Q38" s="6"/>
      <c r="R38" s="6">
        <v>29</v>
      </c>
      <c r="S38" s="6"/>
      <c r="T38" s="6"/>
      <c r="U38" s="6"/>
      <c r="V38" s="6"/>
      <c r="W38" s="6"/>
      <c r="X38" s="6"/>
      <c r="Y38" s="6"/>
      <c r="Z38" s="6">
        <v>114</v>
      </c>
      <c r="AA38" s="6"/>
      <c r="AB38" s="6">
        <f>SUM(E38:AA38)</f>
        <v>455</v>
      </c>
      <c r="AC38" s="6">
        <v>269</v>
      </c>
      <c r="AD38" s="9">
        <f>SUM(AB38:AC38)</f>
        <v>724</v>
      </c>
      <c r="AE38" s="8">
        <f>AB38/AD38</f>
        <v>0.62845303867403313</v>
      </c>
      <c r="AF38" s="6">
        <v>518</v>
      </c>
      <c r="AG38" s="6">
        <v>0</v>
      </c>
      <c r="AH38" s="14">
        <v>15</v>
      </c>
      <c r="AI38" s="9">
        <f>AH38+AG38+AF38</f>
        <v>533</v>
      </c>
      <c r="AJ38" s="8">
        <f>(AG38+AH38)/AI38</f>
        <v>2.8142589118198873E-2</v>
      </c>
      <c r="AK38" s="6">
        <f>SUM(E38:W38)</f>
        <v>341</v>
      </c>
    </row>
    <row r="39" spans="1:37" s="28" customFormat="1" ht="39.75" customHeight="1" x14ac:dyDescent="0.25">
      <c r="A39" s="13">
        <v>46144</v>
      </c>
      <c r="B39" s="12" t="s">
        <v>1</v>
      </c>
      <c r="C39" s="11" t="s">
        <v>27</v>
      </c>
      <c r="D39" s="11">
        <v>7</v>
      </c>
      <c r="E39" s="10">
        <v>35</v>
      </c>
      <c r="F39" s="10">
        <v>26</v>
      </c>
      <c r="G39" s="10"/>
      <c r="H39" s="10">
        <v>20</v>
      </c>
      <c r="I39" s="10"/>
      <c r="J39" s="10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>
        <v>10</v>
      </c>
      <c r="AA39" s="6"/>
      <c r="AB39" s="6">
        <f>SUM(E39:AA39)</f>
        <v>91</v>
      </c>
      <c r="AC39" s="6">
        <v>406</v>
      </c>
      <c r="AD39" s="9">
        <f>SUM(AB39:AC39)</f>
        <v>497</v>
      </c>
      <c r="AE39" s="8">
        <f>AB39/AD39</f>
        <v>0.18309859154929578</v>
      </c>
      <c r="AF39" s="6">
        <v>608</v>
      </c>
      <c r="AG39" s="6">
        <v>7</v>
      </c>
      <c r="AH39" s="14">
        <v>5</v>
      </c>
      <c r="AI39" s="9">
        <f>AH39+AG39+AF39</f>
        <v>620</v>
      </c>
      <c r="AJ39" s="8">
        <f>(AG39+AH39)/AI39</f>
        <v>1.935483870967742E-2</v>
      </c>
      <c r="AK39" s="6">
        <f>SUM(E39:W39)</f>
        <v>81</v>
      </c>
    </row>
    <row r="40" spans="1:37" s="28" customFormat="1" ht="39.75" customHeight="1" x14ac:dyDescent="0.25">
      <c r="A40" s="13">
        <v>46144</v>
      </c>
      <c r="B40" s="12" t="s">
        <v>1</v>
      </c>
      <c r="C40" s="11" t="s">
        <v>13</v>
      </c>
      <c r="D40" s="11">
        <v>8</v>
      </c>
      <c r="E40" s="10">
        <v>5</v>
      </c>
      <c r="F40" s="10">
        <v>4</v>
      </c>
      <c r="G40" s="10">
        <v>1</v>
      </c>
      <c r="H40" s="10"/>
      <c r="I40" s="10"/>
      <c r="J40" s="10"/>
      <c r="K40" s="6"/>
      <c r="L40" s="6"/>
      <c r="M40" s="6"/>
      <c r="N40" s="6"/>
      <c r="O40" s="6"/>
      <c r="P40" s="6"/>
      <c r="Q40" s="6"/>
      <c r="R40" s="6">
        <v>1</v>
      </c>
      <c r="S40" s="6"/>
      <c r="T40" s="6"/>
      <c r="U40" s="6"/>
      <c r="V40" s="6"/>
      <c r="W40" s="6"/>
      <c r="X40" s="6"/>
      <c r="Y40" s="6"/>
      <c r="Z40" s="6">
        <v>1</v>
      </c>
      <c r="AA40" s="6"/>
      <c r="AB40" s="6">
        <f>SUM(E40:AA40)</f>
        <v>12</v>
      </c>
      <c r="AC40" s="6">
        <v>257</v>
      </c>
      <c r="AD40" s="9">
        <f>SUM(AB40:AC40)</f>
        <v>269</v>
      </c>
      <c r="AE40" s="8">
        <f>AB40/AD40</f>
        <v>4.4609665427509292E-2</v>
      </c>
      <c r="AF40" s="14">
        <v>622</v>
      </c>
      <c r="AG40" s="6">
        <v>0</v>
      </c>
      <c r="AH40" s="14">
        <v>16</v>
      </c>
      <c r="AI40" s="9">
        <f>AH40+AG40+AF40</f>
        <v>638</v>
      </c>
      <c r="AJ40" s="8">
        <f>(AG40+AH40)/AI40</f>
        <v>2.5078369905956112E-2</v>
      </c>
      <c r="AK40" s="6">
        <f>SUM(E40:W40)</f>
        <v>11</v>
      </c>
    </row>
    <row r="41" spans="1:37" s="28" customFormat="1" ht="39.75" customHeight="1" x14ac:dyDescent="0.25">
      <c r="A41" s="13">
        <v>46144</v>
      </c>
      <c r="B41" s="21" t="s">
        <v>1</v>
      </c>
      <c r="C41" s="11" t="s">
        <v>12</v>
      </c>
      <c r="D41" s="11">
        <v>9</v>
      </c>
      <c r="E41" s="10">
        <v>105</v>
      </c>
      <c r="F41" s="10">
        <v>104</v>
      </c>
      <c r="G41" s="10"/>
      <c r="H41" s="10"/>
      <c r="I41" s="10"/>
      <c r="J41" s="10">
        <v>31</v>
      </c>
      <c r="K41" s="6"/>
      <c r="L41" s="6">
        <v>60</v>
      </c>
      <c r="M41" s="6"/>
      <c r="N41" s="6"/>
      <c r="O41" s="6"/>
      <c r="P41" s="6"/>
      <c r="Q41" s="6"/>
      <c r="R41" s="6">
        <v>18</v>
      </c>
      <c r="S41" s="6"/>
      <c r="T41" s="6"/>
      <c r="U41" s="6"/>
      <c r="V41" s="6"/>
      <c r="W41" s="6"/>
      <c r="X41" s="6"/>
      <c r="Y41" s="6"/>
      <c r="Z41" s="6">
        <v>66</v>
      </c>
      <c r="AA41" s="6"/>
      <c r="AB41" s="6">
        <f>SUM(E41:AA41)</f>
        <v>384</v>
      </c>
      <c r="AC41" s="6">
        <v>674</v>
      </c>
      <c r="AD41" s="9">
        <f>SUM(AB41:AC41)</f>
        <v>1058</v>
      </c>
      <c r="AE41" s="8">
        <f>AB41/AD41</f>
        <v>0.36294896030245749</v>
      </c>
      <c r="AF41" s="14">
        <v>569</v>
      </c>
      <c r="AG41" s="6">
        <v>4</v>
      </c>
      <c r="AH41" s="14">
        <v>13</v>
      </c>
      <c r="AI41" s="9">
        <f>AH41+AG41+AF41</f>
        <v>586</v>
      </c>
      <c r="AJ41" s="8">
        <f>(AG41+AH41)/AI41</f>
        <v>2.9010238907849831E-2</v>
      </c>
      <c r="AK41" s="6">
        <f>SUM(E41:W41)</f>
        <v>318</v>
      </c>
    </row>
    <row r="42" spans="1:37" s="28" customFormat="1" ht="39.75" customHeight="1" x14ac:dyDescent="0.25">
      <c r="A42" s="13">
        <v>46144</v>
      </c>
      <c r="B42" s="12" t="s">
        <v>1</v>
      </c>
      <c r="C42" s="11" t="s">
        <v>0</v>
      </c>
      <c r="D42" s="11">
        <v>10</v>
      </c>
      <c r="E42" s="10">
        <v>48</v>
      </c>
      <c r="F42" s="10">
        <v>61</v>
      </c>
      <c r="G42" s="10">
        <v>22</v>
      </c>
      <c r="H42" s="10">
        <v>5</v>
      </c>
      <c r="I42" s="10"/>
      <c r="J42" s="10"/>
      <c r="K42" s="6"/>
      <c r="L42" s="6"/>
      <c r="M42" s="6"/>
      <c r="N42" s="6"/>
      <c r="O42" s="6"/>
      <c r="P42" s="6"/>
      <c r="Q42" s="6"/>
      <c r="R42" s="6">
        <v>10</v>
      </c>
      <c r="S42" s="6"/>
      <c r="T42" s="6"/>
      <c r="U42" s="6"/>
      <c r="V42" s="6">
        <v>5</v>
      </c>
      <c r="W42" s="6"/>
      <c r="X42" s="6"/>
      <c r="Y42" s="6"/>
      <c r="Z42" s="6">
        <v>17</v>
      </c>
      <c r="AA42" s="6"/>
      <c r="AB42" s="6">
        <f>SUM(E42:AA42)</f>
        <v>168</v>
      </c>
      <c r="AC42" s="6">
        <v>194</v>
      </c>
      <c r="AD42" s="9">
        <f>SUM(AB42:AC42)</f>
        <v>362</v>
      </c>
      <c r="AE42" s="8">
        <f>AB42/AD42</f>
        <v>0.46408839779005523</v>
      </c>
      <c r="AF42" s="6">
        <v>100</v>
      </c>
      <c r="AG42" s="6">
        <v>11</v>
      </c>
      <c r="AH42" s="6">
        <v>9</v>
      </c>
      <c r="AI42" s="9">
        <f>AH42+AG42+AF42</f>
        <v>120</v>
      </c>
      <c r="AJ42" s="8">
        <f>(AG42+AH42)/AI42</f>
        <v>0.16666666666666666</v>
      </c>
      <c r="AK42" s="6">
        <f>SUM(E42:W42)</f>
        <v>151</v>
      </c>
    </row>
    <row r="43" spans="1:37" s="28" customFormat="1" ht="39.75" customHeight="1" x14ac:dyDescent="0.25">
      <c r="A43" s="13">
        <v>46144</v>
      </c>
      <c r="B43" s="12" t="s">
        <v>1</v>
      </c>
      <c r="C43" s="11" t="s">
        <v>18</v>
      </c>
      <c r="D43" s="11">
        <v>11</v>
      </c>
      <c r="E43" s="6">
        <v>20</v>
      </c>
      <c r="F43" s="10">
        <v>34</v>
      </c>
      <c r="G43" s="10">
        <v>3</v>
      </c>
      <c r="H43" s="10"/>
      <c r="I43" s="10"/>
      <c r="J43" s="10">
        <v>3</v>
      </c>
      <c r="K43" s="6"/>
      <c r="L43" s="6"/>
      <c r="M43" s="6">
        <v>8</v>
      </c>
      <c r="N43" s="6"/>
      <c r="O43" s="6"/>
      <c r="P43" s="6"/>
      <c r="Q43" s="6"/>
      <c r="R43" s="6">
        <v>3</v>
      </c>
      <c r="S43" s="6"/>
      <c r="T43" s="6"/>
      <c r="U43" s="6"/>
      <c r="V43" s="6"/>
      <c r="W43" s="6"/>
      <c r="X43" s="6"/>
      <c r="Y43" s="6"/>
      <c r="Z43" s="6">
        <v>49</v>
      </c>
      <c r="AA43" s="6"/>
      <c r="AB43" s="6">
        <f>SUM(E43:AA43)</f>
        <v>120</v>
      </c>
      <c r="AC43" s="6">
        <v>110</v>
      </c>
      <c r="AD43" s="9">
        <f>SUM(AB43:AC43)</f>
        <v>230</v>
      </c>
      <c r="AE43" s="8">
        <f>AB43/AD43</f>
        <v>0.52173913043478259</v>
      </c>
      <c r="AF43" s="14">
        <v>590</v>
      </c>
      <c r="AG43" s="6">
        <v>0</v>
      </c>
      <c r="AH43" s="14">
        <v>7</v>
      </c>
      <c r="AI43" s="9">
        <f>AH43+AG43+AF43</f>
        <v>597</v>
      </c>
      <c r="AJ43" s="8">
        <f>(AG43+AH43)/AI43</f>
        <v>1.1725293132328308E-2</v>
      </c>
      <c r="AK43" s="6">
        <f>SUM(E43:W43)</f>
        <v>71</v>
      </c>
    </row>
    <row r="44" spans="1:37" s="28" customFormat="1" ht="39.75" customHeight="1" x14ac:dyDescent="0.25">
      <c r="A44" s="13">
        <v>46144</v>
      </c>
      <c r="B44" s="21" t="s">
        <v>1</v>
      </c>
      <c r="C44" s="11" t="s">
        <v>18</v>
      </c>
      <c r="D44" s="11">
        <v>13</v>
      </c>
      <c r="E44" s="10">
        <v>49</v>
      </c>
      <c r="F44" s="10">
        <v>90</v>
      </c>
      <c r="G44" s="10">
        <v>67</v>
      </c>
      <c r="H44" s="10"/>
      <c r="I44" s="10"/>
      <c r="J44" s="10"/>
      <c r="K44" s="6"/>
      <c r="L44" s="6"/>
      <c r="M44" s="6"/>
      <c r="N44" s="6"/>
      <c r="O44" s="6"/>
      <c r="P44" s="6"/>
      <c r="Q44" s="6"/>
      <c r="R44" s="6">
        <v>37</v>
      </c>
      <c r="S44" s="6"/>
      <c r="T44" s="6"/>
      <c r="U44" s="6"/>
      <c r="V44" s="6"/>
      <c r="W44" s="6"/>
      <c r="X44" s="6"/>
      <c r="Y44" s="6"/>
      <c r="Z44" s="6">
        <v>21</v>
      </c>
      <c r="AA44" s="6"/>
      <c r="AB44" s="6">
        <f>SUM(E44:AA44)</f>
        <v>264</v>
      </c>
      <c r="AC44" s="6">
        <v>52</v>
      </c>
      <c r="AD44" s="9">
        <f>SUM(AB44:AC44)</f>
        <v>316</v>
      </c>
      <c r="AE44" s="8">
        <f>AB44/AD44</f>
        <v>0.83544303797468356</v>
      </c>
      <c r="AF44" s="6">
        <v>560</v>
      </c>
      <c r="AG44" s="6">
        <v>0</v>
      </c>
      <c r="AH44" s="6">
        <v>27</v>
      </c>
      <c r="AI44" s="9">
        <f>AH44+AG44+AF44</f>
        <v>587</v>
      </c>
      <c r="AJ44" s="8">
        <f>(AG44+AH44)/AI44</f>
        <v>4.5996592844974447E-2</v>
      </c>
      <c r="AK44" s="6">
        <f>SUM(E44:W44)</f>
        <v>243</v>
      </c>
    </row>
    <row r="45" spans="1:37" s="28" customFormat="1" ht="39.75" customHeight="1" x14ac:dyDescent="0.25">
      <c r="A45" s="13">
        <v>46144</v>
      </c>
      <c r="B45" s="21" t="s">
        <v>1</v>
      </c>
      <c r="C45" s="11" t="s">
        <v>8</v>
      </c>
      <c r="D45" s="11">
        <v>14</v>
      </c>
      <c r="E45" s="6">
        <v>19</v>
      </c>
      <c r="F45" s="10">
        <v>27</v>
      </c>
      <c r="G45" s="10">
        <v>25</v>
      </c>
      <c r="H45" s="10">
        <v>16</v>
      </c>
      <c r="I45" s="10"/>
      <c r="J45" s="10"/>
      <c r="K45" s="6"/>
      <c r="L45" s="6"/>
      <c r="M45" s="6"/>
      <c r="N45" s="6"/>
      <c r="O45" s="6"/>
      <c r="P45" s="6"/>
      <c r="Q45" s="6"/>
      <c r="R45" s="6">
        <v>39</v>
      </c>
      <c r="S45" s="6"/>
      <c r="T45" s="6"/>
      <c r="U45" s="6"/>
      <c r="V45" s="6">
        <v>23</v>
      </c>
      <c r="W45" s="6"/>
      <c r="X45" s="6"/>
      <c r="Y45" s="6"/>
      <c r="Z45" s="6">
        <v>11</v>
      </c>
      <c r="AA45" s="6"/>
      <c r="AB45" s="6">
        <f>SUM(E45:AA45)</f>
        <v>160</v>
      </c>
      <c r="AC45" s="6">
        <v>381</v>
      </c>
      <c r="AD45" s="9">
        <f>SUM(AB45:AC45)</f>
        <v>541</v>
      </c>
      <c r="AE45" s="8">
        <f>AB45/AD45</f>
        <v>0.29574861367837341</v>
      </c>
      <c r="AF45" s="14">
        <v>465</v>
      </c>
      <c r="AG45" s="6">
        <v>0</v>
      </c>
      <c r="AH45" s="14">
        <v>24</v>
      </c>
      <c r="AI45" s="9">
        <f>AH45+AG45+AF45</f>
        <v>489</v>
      </c>
      <c r="AJ45" s="8">
        <f>(AG45+AH45)/AI45</f>
        <v>4.9079754601226995E-2</v>
      </c>
      <c r="AK45" s="6">
        <f>SUM(E45:W45)</f>
        <v>149</v>
      </c>
    </row>
    <row r="46" spans="1:37" s="28" customFormat="1" ht="39.75" customHeight="1" x14ac:dyDescent="0.25">
      <c r="A46" s="13">
        <v>46144</v>
      </c>
      <c r="B46" s="12" t="s">
        <v>1</v>
      </c>
      <c r="C46" s="11" t="s">
        <v>7</v>
      </c>
      <c r="D46" s="11">
        <v>15</v>
      </c>
      <c r="E46" s="6">
        <v>9</v>
      </c>
      <c r="F46" s="10">
        <v>3</v>
      </c>
      <c r="G46" s="10">
        <v>30</v>
      </c>
      <c r="H46" s="10"/>
      <c r="I46" s="10">
        <v>4</v>
      </c>
      <c r="J46" s="10">
        <v>6</v>
      </c>
      <c r="K46" s="6"/>
      <c r="L46" s="6"/>
      <c r="M46" s="6"/>
      <c r="N46" s="6"/>
      <c r="O46" s="6"/>
      <c r="P46" s="6"/>
      <c r="Q46" s="6"/>
      <c r="R46" s="6">
        <v>2</v>
      </c>
      <c r="S46" s="6"/>
      <c r="T46" s="6"/>
      <c r="U46" s="6"/>
      <c r="V46" s="6">
        <v>10</v>
      </c>
      <c r="W46" s="6"/>
      <c r="X46" s="6"/>
      <c r="Y46" s="6"/>
      <c r="Z46" s="6">
        <v>6</v>
      </c>
      <c r="AA46" s="6"/>
      <c r="AB46" s="6">
        <f>SUM(E46:AA46)</f>
        <v>70</v>
      </c>
      <c r="AC46" s="6">
        <v>31</v>
      </c>
      <c r="AD46" s="9">
        <f>SUM(AB46:AC46)</f>
        <v>101</v>
      </c>
      <c r="AE46" s="8">
        <f>AB46/AD46</f>
        <v>0.69306930693069302</v>
      </c>
      <c r="AF46" s="6">
        <v>425</v>
      </c>
      <c r="AG46" s="6">
        <v>0</v>
      </c>
      <c r="AH46" s="6">
        <v>38</v>
      </c>
      <c r="AI46" s="9">
        <f>AH46+AG46+AF46</f>
        <v>463</v>
      </c>
      <c r="AJ46" s="8">
        <f>(AG46+AH46)/AI46</f>
        <v>8.2073434125269976E-2</v>
      </c>
      <c r="AK46" s="6">
        <f>SUM(E46:W46)</f>
        <v>64</v>
      </c>
    </row>
    <row r="47" spans="1:37" s="28" customFormat="1" ht="39.75" customHeight="1" x14ac:dyDescent="0.25">
      <c r="A47" s="13">
        <v>46144</v>
      </c>
      <c r="B47" s="21" t="s">
        <v>1</v>
      </c>
      <c r="C47" s="11" t="s">
        <v>10</v>
      </c>
      <c r="D47" s="11">
        <v>16</v>
      </c>
      <c r="E47" s="10">
        <v>57</v>
      </c>
      <c r="F47" s="10">
        <v>126</v>
      </c>
      <c r="G47" s="10">
        <v>56</v>
      </c>
      <c r="H47" s="10">
        <v>38</v>
      </c>
      <c r="I47" s="10"/>
      <c r="J47" s="10">
        <v>38</v>
      </c>
      <c r="K47" s="6"/>
      <c r="L47" s="6">
        <v>13</v>
      </c>
      <c r="M47" s="6"/>
      <c r="N47" s="6"/>
      <c r="O47" s="6"/>
      <c r="P47" s="6"/>
      <c r="Q47" s="6"/>
      <c r="R47" s="6">
        <v>66</v>
      </c>
      <c r="S47" s="6"/>
      <c r="T47" s="6"/>
      <c r="U47" s="6"/>
      <c r="V47" s="6"/>
      <c r="W47" s="6"/>
      <c r="X47" s="6"/>
      <c r="Y47" s="6"/>
      <c r="Z47" s="6">
        <v>7</v>
      </c>
      <c r="AA47" s="6"/>
      <c r="AB47" s="6">
        <f>SUM(E47:AA47)</f>
        <v>401</v>
      </c>
      <c r="AC47" s="6">
        <v>239</v>
      </c>
      <c r="AD47" s="9">
        <f>SUM(AB47:AC47)</f>
        <v>640</v>
      </c>
      <c r="AE47" s="8">
        <f>AB47/AD47</f>
        <v>0.62656250000000002</v>
      </c>
      <c r="AF47" s="14">
        <v>420</v>
      </c>
      <c r="AG47" s="6">
        <v>0</v>
      </c>
      <c r="AH47" s="14">
        <v>16</v>
      </c>
      <c r="AI47" s="9">
        <f>AH47+AG47+AF47</f>
        <v>436</v>
      </c>
      <c r="AJ47" s="8">
        <f>(AG47+AH47)/AI47</f>
        <v>3.669724770642202E-2</v>
      </c>
      <c r="AK47" s="6">
        <f>SUM(E47:W47)</f>
        <v>394</v>
      </c>
    </row>
    <row r="48" spans="1:37" s="28" customFormat="1" ht="39.75" customHeight="1" x14ac:dyDescent="0.25">
      <c r="A48" s="13">
        <v>46144</v>
      </c>
      <c r="B48" s="21" t="s">
        <v>1</v>
      </c>
      <c r="C48" s="11" t="s">
        <v>12</v>
      </c>
      <c r="D48" s="11">
        <v>17</v>
      </c>
      <c r="E48" s="10">
        <v>14</v>
      </c>
      <c r="F48" s="10">
        <v>13</v>
      </c>
      <c r="G48" s="10">
        <v>6</v>
      </c>
      <c r="H48" s="10">
        <v>6</v>
      </c>
      <c r="I48" s="10"/>
      <c r="J48" s="10"/>
      <c r="K48" s="6"/>
      <c r="L48" s="6"/>
      <c r="M48" s="6"/>
      <c r="N48" s="6"/>
      <c r="O48" s="6"/>
      <c r="P48" s="6"/>
      <c r="Q48" s="6"/>
      <c r="R48" s="6">
        <v>32</v>
      </c>
      <c r="S48" s="6"/>
      <c r="T48" s="6"/>
      <c r="U48" s="6"/>
      <c r="V48" s="6"/>
      <c r="W48" s="6"/>
      <c r="X48" s="6">
        <v>38</v>
      </c>
      <c r="Y48" s="6"/>
      <c r="Z48" s="6">
        <v>42</v>
      </c>
      <c r="AA48" s="6"/>
      <c r="AB48" s="6">
        <f>SUM(E48:AA48)</f>
        <v>151</v>
      </c>
      <c r="AC48" s="6">
        <v>309</v>
      </c>
      <c r="AD48" s="9">
        <f>SUM(AB48:AC48)</f>
        <v>460</v>
      </c>
      <c r="AE48" s="8">
        <f>AB48/AD48</f>
        <v>0.32826086956521738</v>
      </c>
      <c r="AF48" s="6">
        <v>400</v>
      </c>
      <c r="AG48" s="6">
        <v>0</v>
      </c>
      <c r="AH48" s="6">
        <v>23</v>
      </c>
      <c r="AI48" s="9">
        <f>AH48+AG48+AF48</f>
        <v>423</v>
      </c>
      <c r="AJ48" s="8">
        <f>(AG48+AH48)/AI48</f>
        <v>5.4373522458628844E-2</v>
      </c>
      <c r="AK48" s="6">
        <f>SUM(E48:W48)</f>
        <v>71</v>
      </c>
    </row>
    <row r="49" spans="1:37" s="28" customFormat="1" ht="39.75" customHeight="1" x14ac:dyDescent="0.25">
      <c r="A49" s="13">
        <v>46144</v>
      </c>
      <c r="B49" s="21" t="s">
        <v>1</v>
      </c>
      <c r="C49" s="21" t="s">
        <v>6</v>
      </c>
      <c r="D49" s="21">
        <v>18</v>
      </c>
      <c r="E49" s="10">
        <v>20</v>
      </c>
      <c r="F49" s="10"/>
      <c r="G49" s="10"/>
      <c r="H49" s="10"/>
      <c r="I49" s="10"/>
      <c r="J49" s="10">
        <v>25</v>
      </c>
      <c r="K49" s="6"/>
      <c r="L49" s="6"/>
      <c r="M49" s="6"/>
      <c r="N49" s="6"/>
      <c r="O49" s="6"/>
      <c r="P49" s="6"/>
      <c r="Q49" s="6"/>
      <c r="R49" s="6">
        <v>40</v>
      </c>
      <c r="S49" s="6"/>
      <c r="T49" s="6"/>
      <c r="U49" s="6"/>
      <c r="V49" s="6"/>
      <c r="W49" s="6"/>
      <c r="X49" s="6"/>
      <c r="Y49" s="6"/>
      <c r="Z49" s="6">
        <v>25</v>
      </c>
      <c r="AA49" s="6"/>
      <c r="AB49" s="6">
        <f>SUM(E49:AA49)</f>
        <v>110</v>
      </c>
      <c r="AC49" s="6">
        <v>401</v>
      </c>
      <c r="AD49" s="9">
        <f>SUM(AB49:AC49)</f>
        <v>511</v>
      </c>
      <c r="AE49" s="8">
        <f>AB49/AD49</f>
        <v>0.21526418786692758</v>
      </c>
      <c r="AF49" s="6">
        <v>18</v>
      </c>
      <c r="AG49" s="6">
        <v>0</v>
      </c>
      <c r="AH49" s="6">
        <v>12</v>
      </c>
      <c r="AI49" s="9">
        <f>AH49+AG49+AF49</f>
        <v>30</v>
      </c>
      <c r="AJ49" s="8">
        <f>(AG49+AH49)/AI49</f>
        <v>0.4</v>
      </c>
      <c r="AK49" s="6">
        <f>SUM(E49:W49)</f>
        <v>85</v>
      </c>
    </row>
    <row r="50" spans="1:37" s="28" customFormat="1" ht="39.75" customHeight="1" x14ac:dyDescent="0.25">
      <c r="A50" s="13">
        <v>46144</v>
      </c>
      <c r="B50" s="21" t="s">
        <v>1</v>
      </c>
      <c r="C50" s="11" t="s">
        <v>10</v>
      </c>
      <c r="D50" s="11">
        <v>19</v>
      </c>
      <c r="E50" s="10">
        <v>16</v>
      </c>
      <c r="F50" s="10">
        <v>31</v>
      </c>
      <c r="G50" s="10"/>
      <c r="H50" s="10">
        <v>17</v>
      </c>
      <c r="I50" s="10">
        <v>16</v>
      </c>
      <c r="J50" s="10"/>
      <c r="K50" s="6"/>
      <c r="L50" s="6"/>
      <c r="M50" s="6"/>
      <c r="N50" s="6"/>
      <c r="O50" s="6"/>
      <c r="P50" s="6"/>
      <c r="Q50" s="6"/>
      <c r="R50" s="6">
        <f>16+13+16</f>
        <v>45</v>
      </c>
      <c r="S50" s="6"/>
      <c r="T50" s="6"/>
      <c r="U50" s="6"/>
      <c r="V50" s="6"/>
      <c r="W50" s="6"/>
      <c r="X50" s="6"/>
      <c r="Y50" s="6"/>
      <c r="Z50" s="6">
        <v>26</v>
      </c>
      <c r="AA50" s="6"/>
      <c r="AB50" s="6">
        <f>SUM(E50:AA50)</f>
        <v>151</v>
      </c>
      <c r="AC50" s="6">
        <v>66</v>
      </c>
      <c r="AD50" s="9">
        <f>SUM(AB50:AC50)</f>
        <v>217</v>
      </c>
      <c r="AE50" s="8">
        <f>AB50/AD50</f>
        <v>0.69585253456221197</v>
      </c>
      <c r="AF50" s="14">
        <v>220</v>
      </c>
      <c r="AG50" s="6">
        <v>0</v>
      </c>
      <c r="AH50" s="14">
        <v>5</v>
      </c>
      <c r="AI50" s="9">
        <f>AH50+AG50+AF50</f>
        <v>225</v>
      </c>
      <c r="AJ50" s="8">
        <f>(AG50+AH50)/AI50</f>
        <v>2.2222222222222223E-2</v>
      </c>
      <c r="AK50" s="6">
        <f>SUM(E50:W50)</f>
        <v>125</v>
      </c>
    </row>
    <row r="51" spans="1:37" s="28" customFormat="1" ht="39.75" customHeight="1" x14ac:dyDescent="0.25">
      <c r="A51" s="13">
        <v>46144</v>
      </c>
      <c r="B51" s="21" t="s">
        <v>1</v>
      </c>
      <c r="C51" s="11" t="s">
        <v>9</v>
      </c>
      <c r="D51" s="11">
        <v>20</v>
      </c>
      <c r="E51" s="10">
        <v>23</v>
      </c>
      <c r="F51" s="10">
        <v>26</v>
      </c>
      <c r="G51" s="10"/>
      <c r="H51" s="10">
        <v>45</v>
      </c>
      <c r="I51" s="10">
        <v>40</v>
      </c>
      <c r="J51" s="10"/>
      <c r="K51" s="6"/>
      <c r="L51" s="6">
        <v>18</v>
      </c>
      <c r="M51" s="6"/>
      <c r="N51" s="6"/>
      <c r="O51" s="6"/>
      <c r="P51" s="6"/>
      <c r="Q51" s="6"/>
      <c r="R51" s="6">
        <v>10</v>
      </c>
      <c r="S51" s="6"/>
      <c r="T51" s="6"/>
      <c r="U51" s="6"/>
      <c r="V51" s="6"/>
      <c r="W51" s="6"/>
      <c r="X51" s="6"/>
      <c r="Y51" s="6"/>
      <c r="Z51" s="6">
        <v>31</v>
      </c>
      <c r="AA51" s="6"/>
      <c r="AB51" s="6">
        <f>SUM(E51:AA51)</f>
        <v>193</v>
      </c>
      <c r="AC51" s="6">
        <v>383</v>
      </c>
      <c r="AD51" s="9">
        <f>SUM(AB51:AC51)</f>
        <v>576</v>
      </c>
      <c r="AE51" s="8">
        <f>AB51/AD51</f>
        <v>0.33506944444444442</v>
      </c>
      <c r="AF51" s="6">
        <v>170</v>
      </c>
      <c r="AG51" s="6">
        <v>0</v>
      </c>
      <c r="AH51" s="6">
        <v>12</v>
      </c>
      <c r="AI51" s="9">
        <f>AH51+AG51+AF51</f>
        <v>182</v>
      </c>
      <c r="AJ51" s="8">
        <f>(AG51+AH51)/AI51</f>
        <v>6.5934065934065936E-2</v>
      </c>
      <c r="AK51" s="6">
        <f>SUM(E51:W51)</f>
        <v>162</v>
      </c>
    </row>
    <row r="52" spans="1:37" s="28" customFormat="1" ht="39.75" customHeight="1" x14ac:dyDescent="0.25">
      <c r="A52" s="13">
        <v>46144</v>
      </c>
      <c r="B52" s="21" t="s">
        <v>1</v>
      </c>
      <c r="C52" s="11" t="s">
        <v>19</v>
      </c>
      <c r="D52" s="11">
        <v>21</v>
      </c>
      <c r="E52" s="10">
        <v>40</v>
      </c>
      <c r="F52" s="10">
        <v>45</v>
      </c>
      <c r="G52" s="10"/>
      <c r="H52" s="10">
        <v>60</v>
      </c>
      <c r="I52" s="10"/>
      <c r="J52" s="10"/>
      <c r="K52" s="6"/>
      <c r="L52" s="6"/>
      <c r="M52" s="6">
        <v>73</v>
      </c>
      <c r="N52" s="6"/>
      <c r="O52" s="6"/>
      <c r="P52" s="6"/>
      <c r="Q52" s="6"/>
      <c r="R52" s="6">
        <v>60</v>
      </c>
      <c r="S52" s="6"/>
      <c r="T52" s="6">
        <v>15</v>
      </c>
      <c r="U52" s="6"/>
      <c r="V52" s="6"/>
      <c r="W52" s="6"/>
      <c r="X52" s="6"/>
      <c r="Y52" s="6"/>
      <c r="Z52" s="6">
        <v>40</v>
      </c>
      <c r="AA52" s="6"/>
      <c r="AB52" s="6">
        <f>SUM(E52:AA52)</f>
        <v>333</v>
      </c>
      <c r="AC52" s="6">
        <v>239</v>
      </c>
      <c r="AD52" s="9">
        <f>SUM(AB52:AC52)</f>
        <v>572</v>
      </c>
      <c r="AE52" s="8">
        <f>AB52/AD52</f>
        <v>0.58216783216783219</v>
      </c>
      <c r="AF52" s="14">
        <v>505</v>
      </c>
      <c r="AG52" s="6">
        <v>0</v>
      </c>
      <c r="AH52" s="14">
        <v>12</v>
      </c>
      <c r="AI52" s="9">
        <f>AH52+AG52+AF52</f>
        <v>517</v>
      </c>
      <c r="AJ52" s="8">
        <f>(AG52+AH52)/AI52</f>
        <v>2.321083172147002E-2</v>
      </c>
      <c r="AK52" s="6">
        <f>SUM(E52:W52)</f>
        <v>293</v>
      </c>
    </row>
    <row r="53" spans="1:37" s="28" customFormat="1" ht="39.75" customHeight="1" x14ac:dyDescent="0.25">
      <c r="A53" s="13">
        <v>46144</v>
      </c>
      <c r="B53" s="21" t="s">
        <v>1</v>
      </c>
      <c r="C53" s="11" t="s">
        <v>8</v>
      </c>
      <c r="D53" s="11">
        <v>22</v>
      </c>
      <c r="E53" s="6">
        <v>52</v>
      </c>
      <c r="F53" s="10">
        <v>3</v>
      </c>
      <c r="G53" s="10">
        <v>8</v>
      </c>
      <c r="H53" s="10">
        <v>32</v>
      </c>
      <c r="I53" s="10"/>
      <c r="J53" s="10">
        <v>19</v>
      </c>
      <c r="K53" s="6"/>
      <c r="L53" s="6">
        <v>5</v>
      </c>
      <c r="M53" s="6"/>
      <c r="N53" s="6"/>
      <c r="O53" s="6"/>
      <c r="P53" s="6"/>
      <c r="Q53" s="6"/>
      <c r="R53" s="6">
        <f>7+31</f>
        <v>38</v>
      </c>
      <c r="S53" s="6"/>
      <c r="T53" s="6"/>
      <c r="U53" s="6"/>
      <c r="V53" s="6">
        <v>5</v>
      </c>
      <c r="W53" s="6"/>
      <c r="X53" s="6">
        <v>5</v>
      </c>
      <c r="Y53" s="6"/>
      <c r="Z53" s="6"/>
      <c r="AA53" s="6"/>
      <c r="AB53" s="6">
        <f>SUM(E53:AA53)</f>
        <v>167</v>
      </c>
      <c r="AC53" s="6">
        <v>317</v>
      </c>
      <c r="AD53" s="9">
        <f>SUM(AB53:AC53)</f>
        <v>484</v>
      </c>
      <c r="AE53" s="8">
        <f>AB53/AD53</f>
        <v>0.3450413223140496</v>
      </c>
      <c r="AF53" s="6">
        <v>408</v>
      </c>
      <c r="AG53" s="6">
        <v>0</v>
      </c>
      <c r="AH53" s="6">
        <v>18</v>
      </c>
      <c r="AI53" s="9">
        <f>AH53+AG53+AF53</f>
        <v>426</v>
      </c>
      <c r="AJ53" s="8">
        <f>(AG53+AH53)/AI53</f>
        <v>4.2253521126760563E-2</v>
      </c>
      <c r="AK53" s="6">
        <f>SUM(E53:W53)</f>
        <v>162</v>
      </c>
    </row>
    <row r="54" spans="1:37" s="28" customFormat="1" ht="39.75" customHeight="1" x14ac:dyDescent="0.25">
      <c r="A54" s="13">
        <v>46144</v>
      </c>
      <c r="B54" s="21" t="s">
        <v>1</v>
      </c>
      <c r="C54" s="11" t="s">
        <v>10</v>
      </c>
      <c r="D54" s="11">
        <v>23</v>
      </c>
      <c r="E54" s="10">
        <f>10+12+20+24+31+23</f>
        <v>120</v>
      </c>
      <c r="F54" s="10">
        <v>61</v>
      </c>
      <c r="G54" s="10"/>
      <c r="H54" s="10">
        <v>76</v>
      </c>
      <c r="I54" s="10"/>
      <c r="J54" s="10"/>
      <c r="K54" s="6"/>
      <c r="L54" s="6"/>
      <c r="M54" s="6"/>
      <c r="N54" s="6"/>
      <c r="O54" s="6"/>
      <c r="P54" s="6"/>
      <c r="Q54" s="6"/>
      <c r="R54" s="6">
        <v>20</v>
      </c>
      <c r="S54" s="6"/>
      <c r="T54" s="6"/>
      <c r="U54" s="6"/>
      <c r="V54" s="6"/>
      <c r="W54" s="6"/>
      <c r="X54" s="6"/>
      <c r="Y54" s="6"/>
      <c r="Z54" s="6">
        <v>75</v>
      </c>
      <c r="AA54" s="6"/>
      <c r="AB54" s="6">
        <f>SUM(E54:AA54)</f>
        <v>352</v>
      </c>
      <c r="AC54" s="6">
        <v>151</v>
      </c>
      <c r="AD54" s="9">
        <f>SUM(AB54:AC54)</f>
        <v>503</v>
      </c>
      <c r="AE54" s="8">
        <f>AB54/AD54</f>
        <v>0.6998011928429424</v>
      </c>
      <c r="AF54" s="6">
        <v>445</v>
      </c>
      <c r="AG54" s="6">
        <v>0</v>
      </c>
      <c r="AH54" s="6">
        <v>18</v>
      </c>
      <c r="AI54" s="9">
        <f>AH54+AG54+AF54</f>
        <v>463</v>
      </c>
      <c r="AJ54" s="8">
        <f>(AG54+AH54)/AI54</f>
        <v>3.8876889848812095E-2</v>
      </c>
      <c r="AK54" s="6">
        <f>SUM(E54:W54)</f>
        <v>277</v>
      </c>
    </row>
    <row r="55" spans="1:37" s="28" customFormat="1" ht="39.75" customHeight="1" x14ac:dyDescent="0.25">
      <c r="A55" s="13">
        <v>46144</v>
      </c>
      <c r="B55" s="21" t="s">
        <v>1</v>
      </c>
      <c r="C55" s="11" t="s">
        <v>6</v>
      </c>
      <c r="D55" s="11">
        <v>24</v>
      </c>
      <c r="E55" s="10">
        <v>48</v>
      </c>
      <c r="F55" s="10">
        <v>19</v>
      </c>
      <c r="G55" s="10"/>
      <c r="H55" s="10">
        <v>6</v>
      </c>
      <c r="I55" s="10"/>
      <c r="J55" s="10"/>
      <c r="K55" s="6"/>
      <c r="L55" s="6"/>
      <c r="M55" s="6"/>
      <c r="N55" s="6">
        <v>11</v>
      </c>
      <c r="O55" s="6"/>
      <c r="P55" s="6"/>
      <c r="Q55" s="6"/>
      <c r="R55" s="6">
        <v>30</v>
      </c>
      <c r="S55" s="6"/>
      <c r="T55" s="6"/>
      <c r="U55" s="6"/>
      <c r="V55" s="6">
        <v>6</v>
      </c>
      <c r="W55" s="6"/>
      <c r="X55" s="6"/>
      <c r="Y55" s="6"/>
      <c r="Z55" s="6">
        <v>5</v>
      </c>
      <c r="AA55" s="6"/>
      <c r="AB55" s="6">
        <f>SUM(E55:AA55)</f>
        <v>125</v>
      </c>
      <c r="AC55" s="6">
        <v>425</v>
      </c>
      <c r="AD55" s="9">
        <f>SUM(AB55:AC55)</f>
        <v>550</v>
      </c>
      <c r="AE55" s="8">
        <f>AB55/AD55</f>
        <v>0.22727272727272727</v>
      </c>
      <c r="AF55" s="6">
        <v>300</v>
      </c>
      <c r="AG55" s="6">
        <v>5</v>
      </c>
      <c r="AH55" s="6">
        <v>5</v>
      </c>
      <c r="AI55" s="9">
        <f>AH55+AG55+AF55</f>
        <v>310</v>
      </c>
      <c r="AJ55" s="8">
        <f>(AG55+AH55)/AI55</f>
        <v>3.2258064516129031E-2</v>
      </c>
      <c r="AK55" s="6">
        <f>SUM(E55:W55)</f>
        <v>120</v>
      </c>
    </row>
    <row r="56" spans="1:37" s="28" customFormat="1" ht="39.75" customHeight="1" x14ac:dyDescent="0.25">
      <c r="A56" s="13">
        <v>46144</v>
      </c>
      <c r="B56" s="27" t="s">
        <v>5</v>
      </c>
      <c r="C56" s="27" t="s">
        <v>4</v>
      </c>
      <c r="D56" s="11">
        <v>25</v>
      </c>
      <c r="E56" s="10">
        <v>30</v>
      </c>
      <c r="F56" s="10">
        <v>10</v>
      </c>
      <c r="G56" s="10">
        <v>10</v>
      </c>
      <c r="H56" s="10"/>
      <c r="I56" s="10"/>
      <c r="J56" s="10">
        <v>55</v>
      </c>
      <c r="K56" s="6"/>
      <c r="L56" s="6"/>
      <c r="M56" s="6"/>
      <c r="N56" s="6"/>
      <c r="O56" s="6"/>
      <c r="P56" s="6"/>
      <c r="Q56" s="6"/>
      <c r="R56" s="6">
        <v>22</v>
      </c>
      <c r="S56" s="6"/>
      <c r="T56" s="6">
        <v>25</v>
      </c>
      <c r="U56" s="6"/>
      <c r="V56" s="6"/>
      <c r="W56" s="6"/>
      <c r="X56" s="6"/>
      <c r="Y56" s="6"/>
      <c r="Z56" s="6">
        <v>75</v>
      </c>
      <c r="AA56" s="6"/>
      <c r="AB56" s="6">
        <f>SUM(E56:AA56)</f>
        <v>227</v>
      </c>
      <c r="AC56" s="6">
        <v>180</v>
      </c>
      <c r="AD56" s="9">
        <f>SUM(AB56:AC56)</f>
        <v>407</v>
      </c>
      <c r="AE56" s="8">
        <f>AB56/AD56</f>
        <v>0.55773955773955775</v>
      </c>
      <c r="AF56" s="14">
        <v>435</v>
      </c>
      <c r="AG56" s="6">
        <v>16</v>
      </c>
      <c r="AH56" s="14">
        <v>10</v>
      </c>
      <c r="AI56" s="9">
        <f>AH56+AG56+AF56</f>
        <v>461</v>
      </c>
      <c r="AJ56" s="8">
        <f>(AG56+AH56)/AI56</f>
        <v>5.6399132321041212E-2</v>
      </c>
      <c r="AK56" s="6">
        <f>SUM(E56:W56)</f>
        <v>152</v>
      </c>
    </row>
    <row r="57" spans="1:37" s="28" customFormat="1" ht="39.75" customHeight="1" x14ac:dyDescent="0.25">
      <c r="A57" s="13">
        <v>46144</v>
      </c>
      <c r="B57" s="21" t="s">
        <v>1</v>
      </c>
      <c r="C57" s="11" t="s">
        <v>22</v>
      </c>
      <c r="D57" s="11">
        <v>26</v>
      </c>
      <c r="E57" s="10">
        <v>33</v>
      </c>
      <c r="F57" s="10">
        <v>53</v>
      </c>
      <c r="G57" s="10">
        <v>54</v>
      </c>
      <c r="H57" s="10">
        <v>7</v>
      </c>
      <c r="I57" s="10">
        <v>68</v>
      </c>
      <c r="J57" s="10">
        <v>24</v>
      </c>
      <c r="K57" s="6"/>
      <c r="L57" s="6"/>
      <c r="M57" s="6"/>
      <c r="N57" s="6"/>
      <c r="O57" s="6"/>
      <c r="P57" s="6"/>
      <c r="Q57" s="6"/>
      <c r="R57" s="6">
        <v>6</v>
      </c>
      <c r="S57" s="6"/>
      <c r="T57" s="6"/>
      <c r="U57" s="6"/>
      <c r="V57" s="6"/>
      <c r="W57" s="6"/>
      <c r="X57" s="6">
        <v>25</v>
      </c>
      <c r="Y57" s="6"/>
      <c r="Z57" s="6">
        <v>4</v>
      </c>
      <c r="AA57" s="6"/>
      <c r="AB57" s="6">
        <f>SUM(E57:AA57)</f>
        <v>274</v>
      </c>
      <c r="AC57" s="6">
        <v>21</v>
      </c>
      <c r="AD57" s="9">
        <f>SUM(AB57:AC57)</f>
        <v>295</v>
      </c>
      <c r="AE57" s="8">
        <f>AB57/AD57</f>
        <v>0.92881355932203391</v>
      </c>
      <c r="AF57" s="14">
        <v>464</v>
      </c>
      <c r="AG57" s="6">
        <v>22</v>
      </c>
      <c r="AH57" s="14">
        <v>5</v>
      </c>
      <c r="AI57" s="9">
        <f>AH57+AG57+AF57</f>
        <v>491</v>
      </c>
      <c r="AJ57" s="8">
        <f>(AG57+AH57)/AI57</f>
        <v>5.4989816700610997E-2</v>
      </c>
      <c r="AK57" s="6">
        <f>SUM(E57:W57)</f>
        <v>245</v>
      </c>
    </row>
    <row r="58" spans="1:37" s="28" customFormat="1" ht="39.75" customHeight="1" x14ac:dyDescent="0.25">
      <c r="A58" s="13">
        <v>46144</v>
      </c>
      <c r="B58" s="21" t="s">
        <v>1</v>
      </c>
      <c r="C58" s="11" t="s">
        <v>24</v>
      </c>
      <c r="D58" s="11">
        <v>27</v>
      </c>
      <c r="E58" s="10">
        <v>138</v>
      </c>
      <c r="F58" s="10">
        <f>147+41</f>
        <v>188</v>
      </c>
      <c r="G58" s="10">
        <v>30</v>
      </c>
      <c r="H58" s="10">
        <v>37</v>
      </c>
      <c r="I58" s="10"/>
      <c r="J58" s="10">
        <v>48</v>
      </c>
      <c r="K58" s="6">
        <v>7</v>
      </c>
      <c r="L58" s="6">
        <v>43</v>
      </c>
      <c r="M58" s="6"/>
      <c r="N58" s="6"/>
      <c r="O58" s="6"/>
      <c r="P58" s="6"/>
      <c r="Q58" s="6"/>
      <c r="R58" s="6">
        <v>18</v>
      </c>
      <c r="S58" s="6"/>
      <c r="T58" s="6"/>
      <c r="U58" s="6"/>
      <c r="V58" s="6"/>
      <c r="W58" s="6"/>
      <c r="X58" s="6"/>
      <c r="Y58" s="6"/>
      <c r="Z58" s="6">
        <v>81</v>
      </c>
      <c r="AA58" s="6"/>
      <c r="AB58" s="6">
        <f>SUM(E58:AA58)</f>
        <v>590</v>
      </c>
      <c r="AC58" s="6">
        <v>25</v>
      </c>
      <c r="AD58" s="9">
        <f>SUM(AB58:AC58)</f>
        <v>615</v>
      </c>
      <c r="AE58" s="8">
        <f>AB58/AD58</f>
        <v>0.95934959349593496</v>
      </c>
      <c r="AF58" s="6">
        <v>365</v>
      </c>
      <c r="AG58" s="6">
        <v>0</v>
      </c>
      <c r="AH58" s="6">
        <v>17</v>
      </c>
      <c r="AI58" s="9">
        <f>AH58+AG58+AF58</f>
        <v>382</v>
      </c>
      <c r="AJ58" s="8">
        <f>(AG58+AH58)/AI58</f>
        <v>4.4502617801047119E-2</v>
      </c>
      <c r="AK58" s="6">
        <f>SUM(E58:W58)</f>
        <v>509</v>
      </c>
    </row>
    <row r="59" spans="1:37" s="28" customFormat="1" ht="39.75" customHeight="1" x14ac:dyDescent="0.25">
      <c r="A59" s="13">
        <v>46144</v>
      </c>
      <c r="B59" s="21" t="s">
        <v>1</v>
      </c>
      <c r="C59" s="11" t="s">
        <v>0</v>
      </c>
      <c r="D59" s="11">
        <v>28</v>
      </c>
      <c r="E59" s="21">
        <v>46</v>
      </c>
      <c r="F59" s="21">
        <v>12</v>
      </c>
      <c r="G59" s="21"/>
      <c r="H59" s="21">
        <v>10</v>
      </c>
      <c r="I59" s="21">
        <v>9</v>
      </c>
      <c r="J59" s="21">
        <v>7</v>
      </c>
      <c r="K59" s="21"/>
      <c r="L59" s="6"/>
      <c r="M59" s="21"/>
      <c r="N59" s="21"/>
      <c r="O59" s="21"/>
      <c r="P59" s="21"/>
      <c r="Q59" s="21"/>
      <c r="R59" s="6">
        <v>5</v>
      </c>
      <c r="S59" s="6"/>
      <c r="T59" s="6"/>
      <c r="U59" s="21"/>
      <c r="V59" s="21"/>
      <c r="W59" s="6"/>
      <c r="X59" s="6"/>
      <c r="Y59" s="6"/>
      <c r="Z59" s="6">
        <v>46</v>
      </c>
      <c r="AA59" s="6"/>
      <c r="AB59" s="6">
        <f>SUM(E59:AA59)</f>
        <v>135</v>
      </c>
      <c r="AC59" s="22">
        <v>15</v>
      </c>
      <c r="AD59" s="9">
        <f>SUM(AB59:AC59)</f>
        <v>150</v>
      </c>
      <c r="AE59" s="8">
        <f>AB59/AD59</f>
        <v>0.9</v>
      </c>
      <c r="AF59" s="6">
        <v>341</v>
      </c>
      <c r="AG59" s="6">
        <v>5</v>
      </c>
      <c r="AH59" s="6">
        <v>20</v>
      </c>
      <c r="AI59" s="9">
        <f>AH59+AG59+AF59</f>
        <v>366</v>
      </c>
      <c r="AJ59" s="8">
        <f>(AG59+AH59)/AI59</f>
        <v>6.8306010928961755E-2</v>
      </c>
      <c r="AK59" s="6">
        <f>SUM(E59:W59)</f>
        <v>89</v>
      </c>
    </row>
    <row r="60" spans="1:37" s="7" customFormat="1" ht="39" customHeight="1" x14ac:dyDescent="0.25">
      <c r="A60" s="20">
        <v>46146</v>
      </c>
      <c r="B60" s="19" t="s">
        <v>1</v>
      </c>
      <c r="C60" s="25" t="s">
        <v>26</v>
      </c>
      <c r="D60" s="25">
        <v>1</v>
      </c>
      <c r="E60" s="24">
        <v>42</v>
      </c>
      <c r="F60" s="24">
        <v>45</v>
      </c>
      <c r="G60" s="24">
        <f>7+10+13</f>
        <v>30</v>
      </c>
      <c r="H60" s="24">
        <v>9</v>
      </c>
      <c r="I60" s="24"/>
      <c r="J60" s="24"/>
      <c r="K60" s="15"/>
      <c r="L60" s="15"/>
      <c r="M60" s="15"/>
      <c r="N60" s="15"/>
      <c r="O60" s="15"/>
      <c r="P60" s="15"/>
      <c r="Q60" s="15"/>
      <c r="R60" s="15">
        <v>7</v>
      </c>
      <c r="S60" s="15"/>
      <c r="T60" s="15">
        <v>4</v>
      </c>
      <c r="U60" s="15"/>
      <c r="V60" s="15">
        <v>13</v>
      </c>
      <c r="W60" s="15"/>
      <c r="X60" s="15"/>
      <c r="Y60" s="15"/>
      <c r="Z60" s="15">
        <v>5</v>
      </c>
      <c r="AA60" s="15"/>
      <c r="AB60" s="15">
        <f>SUM(E60:AA60)</f>
        <v>155</v>
      </c>
      <c r="AC60" s="15">
        <v>516</v>
      </c>
      <c r="AD60" s="17">
        <f>SUM(AB60:AC60)</f>
        <v>671</v>
      </c>
      <c r="AE60" s="16">
        <f>AB60/AD60</f>
        <v>0.23099850968703428</v>
      </c>
      <c r="AF60" s="15">
        <v>395</v>
      </c>
      <c r="AG60" s="15">
        <v>0</v>
      </c>
      <c r="AH60" s="15">
        <v>7</v>
      </c>
      <c r="AI60" s="17">
        <f>AH60+AG60+AF60</f>
        <v>402</v>
      </c>
      <c r="AJ60" s="16">
        <f>(AG60+AH60)/AI60</f>
        <v>1.7412935323383085E-2</v>
      </c>
      <c r="AK60" s="15">
        <f>SUM(E60:W60)</f>
        <v>150</v>
      </c>
    </row>
    <row r="61" spans="1:37" s="7" customFormat="1" ht="39" customHeight="1" x14ac:dyDescent="0.25">
      <c r="A61" s="13">
        <v>46146</v>
      </c>
      <c r="B61" s="21" t="s">
        <v>1</v>
      </c>
      <c r="C61" s="11" t="s">
        <v>21</v>
      </c>
      <c r="D61" s="11">
        <v>2</v>
      </c>
      <c r="E61" s="10">
        <v>100</v>
      </c>
      <c r="F61" s="10">
        <v>60</v>
      </c>
      <c r="G61" s="10"/>
      <c r="H61" s="10">
        <v>45</v>
      </c>
      <c r="I61" s="10"/>
      <c r="J61" s="10"/>
      <c r="K61" s="6">
        <v>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>
        <v>17</v>
      </c>
      <c r="AA61" s="6"/>
      <c r="AB61" s="6">
        <f>SUM(E61:AA61)</f>
        <v>227</v>
      </c>
      <c r="AC61" s="6">
        <v>229</v>
      </c>
      <c r="AD61" s="9">
        <f>SUM(AB61:AC61)</f>
        <v>456</v>
      </c>
      <c r="AE61" s="8">
        <f>AB61/AD61</f>
        <v>0.49780701754385964</v>
      </c>
      <c r="AF61" s="14">
        <v>776</v>
      </c>
      <c r="AG61" s="6">
        <v>10</v>
      </c>
      <c r="AH61" s="14">
        <v>11</v>
      </c>
      <c r="AI61" s="9">
        <f>AH61+AG61+AF61</f>
        <v>797</v>
      </c>
      <c r="AJ61" s="8">
        <f>(AG61+AH61)/AI61</f>
        <v>2.6348808030112924E-2</v>
      </c>
      <c r="AK61" s="6">
        <f>SUM(E61:W61)</f>
        <v>210</v>
      </c>
    </row>
    <row r="62" spans="1:37" s="7" customFormat="1" ht="39" customHeight="1" x14ac:dyDescent="0.25">
      <c r="A62" s="13">
        <v>46146</v>
      </c>
      <c r="B62" s="21" t="s">
        <v>1</v>
      </c>
      <c r="C62" s="11" t="s">
        <v>9</v>
      </c>
      <c r="D62" s="11">
        <v>3</v>
      </c>
      <c r="E62" s="10">
        <v>31</v>
      </c>
      <c r="F62" s="10">
        <v>18</v>
      </c>
      <c r="G62" s="10">
        <v>36</v>
      </c>
      <c r="H62" s="10">
        <v>15</v>
      </c>
      <c r="I62" s="10"/>
      <c r="J62" s="10"/>
      <c r="K62" s="6"/>
      <c r="L62" s="6"/>
      <c r="M62" s="6"/>
      <c r="N62" s="6"/>
      <c r="O62" s="6"/>
      <c r="P62" s="6"/>
      <c r="Q62" s="6"/>
      <c r="R62" s="6"/>
      <c r="S62" s="6">
        <v>25</v>
      </c>
      <c r="T62" s="6"/>
      <c r="U62" s="6"/>
      <c r="V62" s="6"/>
      <c r="W62" s="6"/>
      <c r="X62" s="6"/>
      <c r="Y62" s="6"/>
      <c r="Z62" s="6">
        <v>22</v>
      </c>
      <c r="AA62" s="6"/>
      <c r="AB62" s="6">
        <f>SUM(E62:AA62)</f>
        <v>147</v>
      </c>
      <c r="AC62" s="6">
        <v>518</v>
      </c>
      <c r="AD62" s="9">
        <f>SUM(AB62:AC62)</f>
        <v>665</v>
      </c>
      <c r="AE62" s="8">
        <f>AB62/AD62</f>
        <v>0.22105263157894736</v>
      </c>
      <c r="AF62" s="6">
        <v>160</v>
      </c>
      <c r="AG62" s="6">
        <v>0</v>
      </c>
      <c r="AH62" s="6">
        <v>15</v>
      </c>
      <c r="AI62" s="9">
        <f>AH62+AG62+AF62</f>
        <v>175</v>
      </c>
      <c r="AJ62" s="8">
        <f>(AG62+AH62)/AI62</f>
        <v>8.5714285714285715E-2</v>
      </c>
      <c r="AK62" s="6">
        <f>SUM(E62:W62)</f>
        <v>125</v>
      </c>
    </row>
    <row r="63" spans="1:37" s="7" customFormat="1" ht="39" customHeight="1" x14ac:dyDescent="0.25">
      <c r="A63" s="13">
        <v>46146</v>
      </c>
      <c r="B63" s="21" t="s">
        <v>1</v>
      </c>
      <c r="C63" s="11" t="s">
        <v>28</v>
      </c>
      <c r="D63" s="11">
        <v>4</v>
      </c>
      <c r="E63" s="10">
        <v>5</v>
      </c>
      <c r="F63" s="10">
        <v>10</v>
      </c>
      <c r="G63" s="10">
        <v>16</v>
      </c>
      <c r="H63" s="10"/>
      <c r="I63" s="10"/>
      <c r="J63" s="10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15</v>
      </c>
      <c r="W63" s="6"/>
      <c r="X63" s="6">
        <v>9</v>
      </c>
      <c r="Y63" s="6"/>
      <c r="Z63" s="6"/>
      <c r="AA63" s="6"/>
      <c r="AB63" s="6">
        <f>SUM(E63:AA63)</f>
        <v>55</v>
      </c>
      <c r="AC63" s="6">
        <v>668</v>
      </c>
      <c r="AD63" s="9">
        <f>SUM(AB63:AC63)</f>
        <v>723</v>
      </c>
      <c r="AE63" s="8">
        <f>AB63/AD63</f>
        <v>7.6071922544951584E-2</v>
      </c>
      <c r="AF63" s="6">
        <v>1060</v>
      </c>
      <c r="AG63" s="6">
        <v>8</v>
      </c>
      <c r="AH63" s="6">
        <v>0</v>
      </c>
      <c r="AI63" s="9">
        <f>AH63+AG63+AF63</f>
        <v>1068</v>
      </c>
      <c r="AJ63" s="8">
        <f>(AG63+AH63)/AI63</f>
        <v>7.4906367041198503E-3</v>
      </c>
      <c r="AK63" s="6">
        <f>SUM(E63:W63)</f>
        <v>46</v>
      </c>
    </row>
    <row r="64" spans="1:37" s="7" customFormat="1" ht="39" customHeight="1" x14ac:dyDescent="0.25">
      <c r="A64" s="13">
        <v>46146</v>
      </c>
      <c r="B64" s="12" t="s">
        <v>1</v>
      </c>
      <c r="C64" s="11" t="s">
        <v>16</v>
      </c>
      <c r="D64" s="21">
        <v>5</v>
      </c>
      <c r="E64" s="10">
        <v>52</v>
      </c>
      <c r="F64" s="10">
        <v>55</v>
      </c>
      <c r="G64" s="10">
        <v>24</v>
      </c>
      <c r="H64" s="10">
        <v>101</v>
      </c>
      <c r="I64" s="10"/>
      <c r="J64" s="10"/>
      <c r="K64" s="6"/>
      <c r="L64" s="6"/>
      <c r="M64" s="6"/>
      <c r="N64" s="6"/>
      <c r="O64" s="6"/>
      <c r="P64" s="6"/>
      <c r="Q64" s="6"/>
      <c r="R64" s="6">
        <v>50</v>
      </c>
      <c r="S64" s="6"/>
      <c r="T64" s="6"/>
      <c r="U64" s="6"/>
      <c r="V64" s="6"/>
      <c r="W64" s="6"/>
      <c r="X64" s="6"/>
      <c r="Y64" s="6"/>
      <c r="Z64" s="6">
        <v>45</v>
      </c>
      <c r="AA64" s="6"/>
      <c r="AB64" s="6">
        <f>SUM(E64:AA64)</f>
        <v>327</v>
      </c>
      <c r="AC64" s="6">
        <v>202</v>
      </c>
      <c r="AD64" s="9">
        <f>SUM(AB64:AC64)</f>
        <v>529</v>
      </c>
      <c r="AE64" s="8">
        <f>AB64/AD64</f>
        <v>0.61814744801512289</v>
      </c>
      <c r="AF64" s="6">
        <v>860</v>
      </c>
      <c r="AG64" s="6">
        <v>0</v>
      </c>
      <c r="AH64" s="14">
        <v>18</v>
      </c>
      <c r="AI64" s="9">
        <f>AH64+AG64+AF64</f>
        <v>878</v>
      </c>
      <c r="AJ64" s="8">
        <f>(AG64+AH64)/AI64</f>
        <v>2.0501138952164009E-2</v>
      </c>
      <c r="AK64" s="6">
        <f>SUM(E64:W64)</f>
        <v>282</v>
      </c>
    </row>
    <row r="65" spans="1:37" s="7" customFormat="1" ht="39" customHeight="1" x14ac:dyDescent="0.25">
      <c r="A65" s="13">
        <v>46146</v>
      </c>
      <c r="B65" s="21" t="s">
        <v>1</v>
      </c>
      <c r="C65" s="11" t="s">
        <v>15</v>
      </c>
      <c r="D65" s="11">
        <v>6</v>
      </c>
      <c r="E65" s="10">
        <v>49</v>
      </c>
      <c r="F65" s="10">
        <f>10+21+8+5</f>
        <v>44</v>
      </c>
      <c r="G65" s="10"/>
      <c r="H65" s="10">
        <v>37</v>
      </c>
      <c r="I65" s="10"/>
      <c r="J65" s="10"/>
      <c r="K65" s="6"/>
      <c r="L65" s="6"/>
      <c r="M65" s="6"/>
      <c r="N65" s="6"/>
      <c r="O65" s="6"/>
      <c r="P65" s="6"/>
      <c r="Q65" s="6"/>
      <c r="R65" s="6">
        <v>16</v>
      </c>
      <c r="S65" s="6"/>
      <c r="T65" s="6"/>
      <c r="U65" s="6"/>
      <c r="V65" s="6"/>
      <c r="W65" s="6"/>
      <c r="X65" s="6"/>
      <c r="Y65" s="6"/>
      <c r="Z65" s="6">
        <v>71</v>
      </c>
      <c r="AA65" s="6"/>
      <c r="AB65" s="6">
        <f>SUM(E65:AA65)</f>
        <v>217</v>
      </c>
      <c r="AC65" s="6">
        <v>432</v>
      </c>
      <c r="AD65" s="9">
        <f>SUM(AB65:AC65)</f>
        <v>649</v>
      </c>
      <c r="AE65" s="8">
        <f>AB65/AD65</f>
        <v>0.33436055469953774</v>
      </c>
      <c r="AF65" s="6">
        <v>841</v>
      </c>
      <c r="AG65" s="6">
        <v>0</v>
      </c>
      <c r="AH65" s="14">
        <v>17</v>
      </c>
      <c r="AI65" s="9">
        <f>AH65+AG65+AF65</f>
        <v>858</v>
      </c>
      <c r="AJ65" s="8">
        <f>(AG65+AH65)/AI65</f>
        <v>1.9813519813519812E-2</v>
      </c>
      <c r="AK65" s="6">
        <f>SUM(E65:W65)</f>
        <v>146</v>
      </c>
    </row>
    <row r="66" spans="1:37" s="7" customFormat="1" ht="39" customHeight="1" x14ac:dyDescent="0.25">
      <c r="A66" s="13">
        <v>46146</v>
      </c>
      <c r="B66" s="12" t="s">
        <v>1</v>
      </c>
      <c r="C66" s="11" t="s">
        <v>27</v>
      </c>
      <c r="D66" s="11">
        <v>7</v>
      </c>
      <c r="E66" s="10">
        <v>65</v>
      </c>
      <c r="F66" s="10">
        <v>20</v>
      </c>
      <c r="G66" s="10">
        <v>10</v>
      </c>
      <c r="H66" s="10">
        <v>20</v>
      </c>
      <c r="I66" s="10"/>
      <c r="J66" s="10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>
        <v>20</v>
      </c>
      <c r="AA66" s="6"/>
      <c r="AB66" s="6">
        <f>SUM(E66:AA66)</f>
        <v>135</v>
      </c>
      <c r="AC66" s="6">
        <v>614</v>
      </c>
      <c r="AD66" s="9">
        <f>SUM(AB66:AC66)</f>
        <v>749</v>
      </c>
      <c r="AE66" s="8">
        <f>AB66/AD66</f>
        <v>0.18024032042723631</v>
      </c>
      <c r="AF66" s="14">
        <v>898</v>
      </c>
      <c r="AG66" s="6">
        <v>8</v>
      </c>
      <c r="AH66" s="14">
        <v>14</v>
      </c>
      <c r="AI66" s="9">
        <f>AH66+AG66+AF66</f>
        <v>920</v>
      </c>
      <c r="AJ66" s="8">
        <f>(AG66+AH66)/AI66</f>
        <v>2.391304347826087E-2</v>
      </c>
      <c r="AK66" s="6">
        <f>SUM(E66:W66)</f>
        <v>115</v>
      </c>
    </row>
    <row r="67" spans="1:37" s="7" customFormat="1" ht="39" customHeight="1" x14ac:dyDescent="0.25">
      <c r="A67" s="13">
        <v>46146</v>
      </c>
      <c r="B67" s="12" t="s">
        <v>1</v>
      </c>
      <c r="C67" s="11" t="s">
        <v>13</v>
      </c>
      <c r="D67" s="11">
        <v>8</v>
      </c>
      <c r="E67" s="10">
        <v>212</v>
      </c>
      <c r="F67" s="10">
        <v>107</v>
      </c>
      <c r="G67" s="10">
        <v>56</v>
      </c>
      <c r="H67" s="10">
        <v>96</v>
      </c>
      <c r="I67" s="10"/>
      <c r="J67" s="10"/>
      <c r="K67" s="6"/>
      <c r="L67" s="6"/>
      <c r="M67" s="6"/>
      <c r="N67" s="6"/>
      <c r="O67" s="6"/>
      <c r="P67" s="6"/>
      <c r="Q67" s="6"/>
      <c r="R67" s="6">
        <v>56</v>
      </c>
      <c r="S67" s="6"/>
      <c r="T67" s="6"/>
      <c r="U67" s="6"/>
      <c r="V67" s="6"/>
      <c r="W67" s="6"/>
      <c r="X67" s="6"/>
      <c r="Y67" s="6"/>
      <c r="Z67" s="6">
        <v>50</v>
      </c>
      <c r="AA67" s="6"/>
      <c r="AB67" s="6">
        <f>SUM(E67:AA67)</f>
        <v>577</v>
      </c>
      <c r="AC67" s="6">
        <v>447</v>
      </c>
      <c r="AD67" s="9">
        <f>SUM(AB67:AC67)</f>
        <v>1024</v>
      </c>
      <c r="AE67" s="8">
        <f>AB67/AD67</f>
        <v>0.5634765625</v>
      </c>
      <c r="AF67" s="14">
        <v>807</v>
      </c>
      <c r="AG67" s="6">
        <v>0</v>
      </c>
      <c r="AH67" s="14">
        <v>17</v>
      </c>
      <c r="AI67" s="9">
        <f>AH67+AG67+AF67</f>
        <v>824</v>
      </c>
      <c r="AJ67" s="8">
        <f>(AG67+AH67)/AI67</f>
        <v>2.063106796116505E-2</v>
      </c>
      <c r="AK67" s="6">
        <f>SUM(E67:W67)</f>
        <v>527</v>
      </c>
    </row>
    <row r="68" spans="1:37" s="7" customFormat="1" ht="39" customHeight="1" x14ac:dyDescent="0.25">
      <c r="A68" s="13">
        <v>46146</v>
      </c>
      <c r="B68" s="21" t="s">
        <v>1</v>
      </c>
      <c r="C68" s="11" t="s">
        <v>12</v>
      </c>
      <c r="D68" s="11">
        <v>9</v>
      </c>
      <c r="E68" s="10">
        <v>49</v>
      </c>
      <c r="F68" s="10">
        <v>47</v>
      </c>
      <c r="G68" s="10">
        <v>165</v>
      </c>
      <c r="H68" s="10">
        <v>23</v>
      </c>
      <c r="I68" s="10"/>
      <c r="J68" s="10">
        <v>21</v>
      </c>
      <c r="K68" s="6">
        <v>45</v>
      </c>
      <c r="L68" s="6">
        <v>144</v>
      </c>
      <c r="M68" s="6"/>
      <c r="N68" s="6"/>
      <c r="O68" s="6"/>
      <c r="P68" s="6"/>
      <c r="Q68" s="6"/>
      <c r="R68" s="6">
        <v>131</v>
      </c>
      <c r="S68" s="6"/>
      <c r="T68" s="6"/>
      <c r="U68" s="6"/>
      <c r="V68" s="6"/>
      <c r="W68" s="6"/>
      <c r="X68" s="6"/>
      <c r="Y68" s="6"/>
      <c r="Z68" s="6">
        <v>57</v>
      </c>
      <c r="AA68" s="6"/>
      <c r="AB68" s="6">
        <f>SUM(E68:AA68)</f>
        <v>682</v>
      </c>
      <c r="AC68" s="6">
        <v>920</v>
      </c>
      <c r="AD68" s="9">
        <f>SUM(AB68:AC68)</f>
        <v>1602</v>
      </c>
      <c r="AE68" s="8">
        <f>AB68/AD68</f>
        <v>0.4257178526841448</v>
      </c>
      <c r="AF68" s="6">
        <v>917</v>
      </c>
      <c r="AG68" s="6">
        <v>10</v>
      </c>
      <c r="AH68" s="6">
        <v>9</v>
      </c>
      <c r="AI68" s="9">
        <f>AH68+AG68+AF68</f>
        <v>936</v>
      </c>
      <c r="AJ68" s="8">
        <f>(AG68+AH68)/AI68</f>
        <v>2.02991452991453E-2</v>
      </c>
      <c r="AK68" s="6">
        <f>SUM(E68:W68)</f>
        <v>625</v>
      </c>
    </row>
    <row r="69" spans="1:37" s="7" customFormat="1" ht="39" customHeight="1" x14ac:dyDescent="0.25">
      <c r="A69" s="13">
        <v>46146</v>
      </c>
      <c r="B69" s="12" t="s">
        <v>1</v>
      </c>
      <c r="C69" s="11" t="s">
        <v>0</v>
      </c>
      <c r="D69" s="11">
        <v>10</v>
      </c>
      <c r="E69" s="6">
        <v>67</v>
      </c>
      <c r="F69" s="10">
        <v>58</v>
      </c>
      <c r="G69" s="10">
        <v>18</v>
      </c>
      <c r="H69" s="10">
        <v>26</v>
      </c>
      <c r="I69" s="10"/>
      <c r="J69" s="10"/>
      <c r="K69" s="6"/>
      <c r="L69" s="6"/>
      <c r="M69" s="6"/>
      <c r="N69" s="6"/>
      <c r="O69" s="6"/>
      <c r="P69" s="6"/>
      <c r="Q69" s="6"/>
      <c r="R69" s="6">
        <v>37</v>
      </c>
      <c r="S69" s="6"/>
      <c r="T69" s="6"/>
      <c r="U69" s="6"/>
      <c r="V69" s="6">
        <v>25</v>
      </c>
      <c r="W69" s="6"/>
      <c r="X69" s="6"/>
      <c r="Y69" s="6"/>
      <c r="Z69" s="6">
        <v>23</v>
      </c>
      <c r="AA69" s="6">
        <v>8</v>
      </c>
      <c r="AB69" s="6">
        <f>SUM(E69:AA69)</f>
        <v>262</v>
      </c>
      <c r="AC69" s="6">
        <v>225</v>
      </c>
      <c r="AD69" s="9">
        <f>SUM(AB69:AC69)</f>
        <v>487</v>
      </c>
      <c r="AE69" s="8">
        <f>AB69/AD69</f>
        <v>0.53798767967145789</v>
      </c>
      <c r="AF69" s="14">
        <v>153</v>
      </c>
      <c r="AG69" s="6">
        <v>17</v>
      </c>
      <c r="AH69" s="14">
        <v>9</v>
      </c>
      <c r="AI69" s="9">
        <f>AH69+AG69+AF69</f>
        <v>179</v>
      </c>
      <c r="AJ69" s="8">
        <f>(AG69+AH69)/AI69</f>
        <v>0.14525139664804471</v>
      </c>
      <c r="AK69" s="6">
        <f>SUM(E69:W69)</f>
        <v>231</v>
      </c>
    </row>
    <row r="70" spans="1:37" s="7" customFormat="1" ht="39" customHeight="1" x14ac:dyDescent="0.25">
      <c r="A70" s="13">
        <v>46146</v>
      </c>
      <c r="B70" s="12" t="s">
        <v>1</v>
      </c>
      <c r="C70" s="11" t="s">
        <v>10</v>
      </c>
      <c r="D70" s="11">
        <v>11</v>
      </c>
      <c r="E70" s="10">
        <v>31</v>
      </c>
      <c r="F70" s="10">
        <v>43</v>
      </c>
      <c r="G70" s="10">
        <v>16</v>
      </c>
      <c r="H70" s="10">
        <v>8</v>
      </c>
      <c r="I70" s="10"/>
      <c r="J70" s="10"/>
      <c r="K70" s="6"/>
      <c r="L70" s="6"/>
      <c r="M70" s="6"/>
      <c r="N70" s="6"/>
      <c r="O70" s="6"/>
      <c r="P70" s="6"/>
      <c r="Q70" s="6"/>
      <c r="R70" s="6">
        <v>17</v>
      </c>
      <c r="S70" s="6"/>
      <c r="T70" s="6"/>
      <c r="U70" s="6"/>
      <c r="V70" s="6"/>
      <c r="W70" s="6"/>
      <c r="X70" s="6"/>
      <c r="Y70" s="6"/>
      <c r="Z70" s="6">
        <v>61</v>
      </c>
      <c r="AA70" s="6"/>
      <c r="AB70" s="6">
        <f>SUM(E70:AA70)</f>
        <v>176</v>
      </c>
      <c r="AC70" s="6">
        <v>258</v>
      </c>
      <c r="AD70" s="9">
        <f>SUM(AB70:AC70)</f>
        <v>434</v>
      </c>
      <c r="AE70" s="8">
        <f>AB70/AD70</f>
        <v>0.40552995391705071</v>
      </c>
      <c r="AF70" s="6">
        <v>895</v>
      </c>
      <c r="AG70" s="6">
        <v>0</v>
      </c>
      <c r="AH70" s="6">
        <v>25</v>
      </c>
      <c r="AI70" s="9">
        <f>AH70+AG70+AF70</f>
        <v>920</v>
      </c>
      <c r="AJ70" s="8">
        <f>(AG70+AH70)/AI70</f>
        <v>2.717391304347826E-2</v>
      </c>
      <c r="AK70" s="6">
        <f>SUM(E70:W70)</f>
        <v>115</v>
      </c>
    </row>
    <row r="71" spans="1:37" s="7" customFormat="1" ht="39" customHeight="1" x14ac:dyDescent="0.25">
      <c r="A71" s="13">
        <v>46146</v>
      </c>
      <c r="B71" s="21" t="s">
        <v>1</v>
      </c>
      <c r="C71" s="11" t="s">
        <v>18</v>
      </c>
      <c r="D71" s="11">
        <v>13</v>
      </c>
      <c r="E71" s="6">
        <f>42+19+26+71+101</f>
        <v>259</v>
      </c>
      <c r="F71" s="10">
        <v>240</v>
      </c>
      <c r="G71" s="10">
        <v>131</v>
      </c>
      <c r="H71" s="10">
        <v>68</v>
      </c>
      <c r="I71" s="10"/>
      <c r="J71" s="10"/>
      <c r="K71" s="6"/>
      <c r="L71" s="6">
        <v>5</v>
      </c>
      <c r="M71" s="6"/>
      <c r="N71" s="6"/>
      <c r="O71" s="6"/>
      <c r="P71" s="6"/>
      <c r="Q71" s="6"/>
      <c r="R71" s="6">
        <f>38+117</f>
        <v>155</v>
      </c>
      <c r="S71" s="6"/>
      <c r="T71" s="6"/>
      <c r="U71" s="6"/>
      <c r="V71" s="6"/>
      <c r="W71" s="6"/>
      <c r="X71" s="6"/>
      <c r="Y71" s="6"/>
      <c r="Z71" s="6">
        <v>82</v>
      </c>
      <c r="AA71" s="6"/>
      <c r="AB71" s="6">
        <f>SUM(E71:AA71)</f>
        <v>940</v>
      </c>
      <c r="AC71" s="6">
        <v>277</v>
      </c>
      <c r="AD71" s="9">
        <f>SUM(AB71:AC71)</f>
        <v>1217</v>
      </c>
      <c r="AE71" s="8">
        <f>AB71/AD71</f>
        <v>0.77239112571898105</v>
      </c>
      <c r="AF71" s="14">
        <v>745</v>
      </c>
      <c r="AG71" s="6">
        <v>0</v>
      </c>
      <c r="AH71" s="14">
        <v>15</v>
      </c>
      <c r="AI71" s="9">
        <f>AH71+AG71+AF71</f>
        <v>760</v>
      </c>
      <c r="AJ71" s="8">
        <f>(AG71+AH71)/AI71</f>
        <v>1.9736842105263157E-2</v>
      </c>
      <c r="AK71" s="6">
        <f>SUM(E71:W71)</f>
        <v>858</v>
      </c>
    </row>
    <row r="72" spans="1:37" s="7" customFormat="1" ht="39" customHeight="1" x14ac:dyDescent="0.25">
      <c r="A72" s="13">
        <v>46146</v>
      </c>
      <c r="B72" s="21" t="s">
        <v>1</v>
      </c>
      <c r="C72" s="11" t="s">
        <v>8</v>
      </c>
      <c r="D72" s="11">
        <v>14</v>
      </c>
      <c r="E72" s="6">
        <v>29</v>
      </c>
      <c r="F72" s="10">
        <v>36</v>
      </c>
      <c r="G72" s="10">
        <v>26</v>
      </c>
      <c r="H72" s="10">
        <v>26</v>
      </c>
      <c r="I72" s="10"/>
      <c r="J72" s="10">
        <v>5</v>
      </c>
      <c r="K72" s="6"/>
      <c r="L72" s="6"/>
      <c r="M72" s="6"/>
      <c r="N72" s="6"/>
      <c r="O72" s="6"/>
      <c r="P72" s="6"/>
      <c r="Q72" s="6"/>
      <c r="R72" s="6">
        <v>50</v>
      </c>
      <c r="S72" s="6"/>
      <c r="T72" s="6"/>
      <c r="U72" s="6"/>
      <c r="V72" s="6">
        <v>23</v>
      </c>
      <c r="W72" s="6"/>
      <c r="X72" s="6"/>
      <c r="Y72" s="6"/>
      <c r="Z72" s="6">
        <v>5</v>
      </c>
      <c r="AA72" s="6"/>
      <c r="AB72" s="6">
        <f>SUM(E72:AA72)</f>
        <v>200</v>
      </c>
      <c r="AC72" s="6">
        <v>495</v>
      </c>
      <c r="AD72" s="9">
        <f>SUM(AB72:AC72)</f>
        <v>695</v>
      </c>
      <c r="AE72" s="8">
        <f>AB72/AD72</f>
        <v>0.28776978417266186</v>
      </c>
      <c r="AF72" s="6">
        <v>770</v>
      </c>
      <c r="AG72" s="6">
        <v>0</v>
      </c>
      <c r="AH72" s="6">
        <v>21</v>
      </c>
      <c r="AI72" s="9">
        <f>AH72+AG72+AF72</f>
        <v>791</v>
      </c>
      <c r="AJ72" s="8">
        <f>(AG72+AH72)/AI72</f>
        <v>2.6548672566371681E-2</v>
      </c>
      <c r="AK72" s="6">
        <f>SUM(E72:W72)</f>
        <v>195</v>
      </c>
    </row>
    <row r="73" spans="1:37" s="7" customFormat="1" ht="39" customHeight="1" x14ac:dyDescent="0.25">
      <c r="A73" s="13">
        <v>46146</v>
      </c>
      <c r="B73" s="12" t="s">
        <v>1</v>
      </c>
      <c r="C73" s="11" t="s">
        <v>7</v>
      </c>
      <c r="D73" s="11">
        <v>15</v>
      </c>
      <c r="E73" s="10">
        <v>18</v>
      </c>
      <c r="F73" s="10"/>
      <c r="G73" s="10">
        <v>30</v>
      </c>
      <c r="H73" s="10">
        <v>4</v>
      </c>
      <c r="I73" s="10"/>
      <c r="J73" s="10"/>
      <c r="K73" s="6"/>
      <c r="L73" s="6">
        <v>4</v>
      </c>
      <c r="M73" s="6"/>
      <c r="N73" s="6">
        <v>1</v>
      </c>
      <c r="O73" s="6"/>
      <c r="P73" s="6"/>
      <c r="Q73" s="6"/>
      <c r="R73" s="6">
        <f>6+7</f>
        <v>13</v>
      </c>
      <c r="S73" s="6"/>
      <c r="T73" s="6"/>
      <c r="U73" s="6"/>
      <c r="V73" s="6">
        <v>19</v>
      </c>
      <c r="W73" s="6"/>
      <c r="X73" s="6"/>
      <c r="Y73" s="6"/>
      <c r="Z73" s="6">
        <v>18</v>
      </c>
      <c r="AA73" s="6"/>
      <c r="AB73" s="6">
        <f>SUM(E73:AA73)</f>
        <v>107</v>
      </c>
      <c r="AC73" s="6">
        <v>74</v>
      </c>
      <c r="AD73" s="9">
        <f>SUM(AB73:AC73)</f>
        <v>181</v>
      </c>
      <c r="AE73" s="8">
        <f>AB73/AD73</f>
        <v>0.59116022099447518</v>
      </c>
      <c r="AF73" s="14">
        <v>660</v>
      </c>
      <c r="AG73" s="6">
        <v>0</v>
      </c>
      <c r="AH73" s="14">
        <v>38</v>
      </c>
      <c r="AI73" s="9">
        <f>AH73+AG73+AF73</f>
        <v>698</v>
      </c>
      <c r="AJ73" s="8">
        <f>(AG73+AH73)/AI73</f>
        <v>5.4441260744985676E-2</v>
      </c>
      <c r="AK73" s="6">
        <f>SUM(E73:W73)</f>
        <v>89</v>
      </c>
    </row>
    <row r="74" spans="1:37" s="7" customFormat="1" ht="39" customHeight="1" x14ac:dyDescent="0.25">
      <c r="A74" s="13">
        <v>46146</v>
      </c>
      <c r="B74" s="21" t="s">
        <v>1</v>
      </c>
      <c r="C74" s="11" t="s">
        <v>10</v>
      </c>
      <c r="D74" s="11">
        <v>16</v>
      </c>
      <c r="E74" s="10">
        <v>40</v>
      </c>
      <c r="F74" s="10">
        <v>88</v>
      </c>
      <c r="G74" s="10">
        <v>52</v>
      </c>
      <c r="H74" s="10">
        <v>43</v>
      </c>
      <c r="I74" s="10"/>
      <c r="J74" s="10">
        <v>10</v>
      </c>
      <c r="K74" s="6"/>
      <c r="L74" s="6"/>
      <c r="M74" s="6"/>
      <c r="N74" s="6"/>
      <c r="O74" s="6"/>
      <c r="P74" s="6"/>
      <c r="Q74" s="6"/>
      <c r="R74" s="6">
        <v>44</v>
      </c>
      <c r="S74" s="6"/>
      <c r="T74" s="6"/>
      <c r="U74" s="6"/>
      <c r="V74" s="6"/>
      <c r="W74" s="6"/>
      <c r="X74" s="6"/>
      <c r="Y74" s="6"/>
      <c r="Z74" s="6">
        <v>25</v>
      </c>
      <c r="AA74" s="6"/>
      <c r="AB74" s="6">
        <f>SUM(E74:AA74)</f>
        <v>302</v>
      </c>
      <c r="AC74" s="6">
        <v>394</v>
      </c>
      <c r="AD74" s="9">
        <f>SUM(AB74:AC74)</f>
        <v>696</v>
      </c>
      <c r="AE74" s="8">
        <f>AB74/AD74</f>
        <v>0.43390804597701149</v>
      </c>
      <c r="AF74" s="6">
        <v>735</v>
      </c>
      <c r="AG74" s="6">
        <v>0</v>
      </c>
      <c r="AH74" s="6">
        <v>30</v>
      </c>
      <c r="AI74" s="9">
        <f>AH74+AG74+AF74</f>
        <v>765</v>
      </c>
      <c r="AJ74" s="8">
        <f>(AG74+AH74)/AI74</f>
        <v>3.9215686274509803E-2</v>
      </c>
      <c r="AK74" s="6">
        <f>SUM(E74:W74)</f>
        <v>277</v>
      </c>
    </row>
    <row r="75" spans="1:37" s="7" customFormat="1" ht="39" customHeight="1" x14ac:dyDescent="0.25">
      <c r="A75" s="13">
        <v>46146</v>
      </c>
      <c r="B75" s="21" t="s">
        <v>1</v>
      </c>
      <c r="C75" s="11" t="s">
        <v>12</v>
      </c>
      <c r="D75" s="11">
        <v>17</v>
      </c>
      <c r="E75" s="10">
        <v>29</v>
      </c>
      <c r="F75" s="10">
        <v>44</v>
      </c>
      <c r="G75" s="10">
        <v>55</v>
      </c>
      <c r="H75" s="10">
        <v>9</v>
      </c>
      <c r="I75" s="10"/>
      <c r="J75" s="10"/>
      <c r="K75" s="6"/>
      <c r="L75" s="6">
        <v>8</v>
      </c>
      <c r="M75" s="6"/>
      <c r="N75" s="6"/>
      <c r="O75" s="6"/>
      <c r="P75" s="6"/>
      <c r="Q75" s="6"/>
      <c r="R75" s="6">
        <v>70</v>
      </c>
      <c r="S75" s="6"/>
      <c r="T75" s="6"/>
      <c r="U75" s="6"/>
      <c r="V75" s="6"/>
      <c r="W75" s="6"/>
      <c r="X75" s="6">
        <v>57</v>
      </c>
      <c r="Y75" s="6"/>
      <c r="Z75" s="6">
        <v>54</v>
      </c>
      <c r="AA75" s="6"/>
      <c r="AB75" s="6">
        <f>SUM(E75:AA75)</f>
        <v>326</v>
      </c>
      <c r="AC75" s="6">
        <v>569</v>
      </c>
      <c r="AD75" s="9">
        <f>SUM(AB75:AC75)</f>
        <v>895</v>
      </c>
      <c r="AE75" s="8">
        <f>AB75/AD75</f>
        <v>0.36424581005586593</v>
      </c>
      <c r="AF75" s="6">
        <v>770</v>
      </c>
      <c r="AG75" s="6">
        <v>0</v>
      </c>
      <c r="AH75" s="6">
        <v>31</v>
      </c>
      <c r="AI75" s="9">
        <f>AH75+AG75+AF75</f>
        <v>801</v>
      </c>
      <c r="AJ75" s="8">
        <f>(AG75+AH75)/AI75</f>
        <v>3.870162297128589E-2</v>
      </c>
      <c r="AK75" s="6">
        <f>SUM(E75:W75)</f>
        <v>215</v>
      </c>
    </row>
    <row r="76" spans="1:37" s="7" customFormat="1" ht="39" customHeight="1" x14ac:dyDescent="0.25">
      <c r="A76" s="13">
        <v>46146</v>
      </c>
      <c r="B76" s="21" t="s">
        <v>1</v>
      </c>
      <c r="C76" s="21" t="s">
        <v>6</v>
      </c>
      <c r="D76" s="21">
        <v>18</v>
      </c>
      <c r="E76" s="10">
        <v>35</v>
      </c>
      <c r="F76" s="10">
        <v>20</v>
      </c>
      <c r="G76" s="10"/>
      <c r="H76" s="10"/>
      <c r="I76" s="10"/>
      <c r="J76" s="10"/>
      <c r="K76" s="6"/>
      <c r="L76" s="6"/>
      <c r="M76" s="6"/>
      <c r="N76" s="6">
        <v>45</v>
      </c>
      <c r="O76" s="6"/>
      <c r="P76" s="6"/>
      <c r="Q76" s="6"/>
      <c r="R76" s="6">
        <v>25</v>
      </c>
      <c r="S76" s="6"/>
      <c r="T76" s="6"/>
      <c r="U76" s="6"/>
      <c r="V76" s="6"/>
      <c r="W76" s="6"/>
      <c r="X76" s="6"/>
      <c r="Y76" s="6"/>
      <c r="Z76" s="6">
        <v>60</v>
      </c>
      <c r="AA76" s="6"/>
      <c r="AB76" s="6">
        <f>SUM(E76:AA76)</f>
        <v>185</v>
      </c>
      <c r="AC76" s="6">
        <v>375</v>
      </c>
      <c r="AD76" s="9">
        <f>SUM(AB76:AC76)</f>
        <v>560</v>
      </c>
      <c r="AE76" s="8">
        <f>AB76/AD76</f>
        <v>0.33035714285714285</v>
      </c>
      <c r="AF76" s="14">
        <v>1128</v>
      </c>
      <c r="AG76" s="6">
        <v>0</v>
      </c>
      <c r="AH76" s="14">
        <v>15</v>
      </c>
      <c r="AI76" s="9">
        <f>AH76+AG76+AF76</f>
        <v>1143</v>
      </c>
      <c r="AJ76" s="8">
        <f>(AG76+AH76)/AI76</f>
        <v>1.3123359580052493E-2</v>
      </c>
      <c r="AK76" s="6">
        <f>SUM(E76:W76)</f>
        <v>125</v>
      </c>
    </row>
    <row r="77" spans="1:37" s="7" customFormat="1" ht="39" customHeight="1" x14ac:dyDescent="0.25">
      <c r="A77" s="13">
        <v>46146</v>
      </c>
      <c r="B77" s="21" t="s">
        <v>1</v>
      </c>
      <c r="C77" s="11" t="s">
        <v>2</v>
      </c>
      <c r="D77" s="11">
        <v>19</v>
      </c>
      <c r="E77" s="10">
        <f>8+5+6+4+4+5+20</f>
        <v>52</v>
      </c>
      <c r="F77" s="10">
        <v>34</v>
      </c>
      <c r="G77" s="10">
        <v>41</v>
      </c>
      <c r="H77" s="10">
        <v>37</v>
      </c>
      <c r="I77" s="10">
        <v>10</v>
      </c>
      <c r="J77" s="10"/>
      <c r="K77" s="6"/>
      <c r="L77" s="6"/>
      <c r="M77" s="6"/>
      <c r="N77" s="6"/>
      <c r="O77" s="6"/>
      <c r="P77" s="6"/>
      <c r="Q77" s="6"/>
      <c r="R77" s="6"/>
      <c r="S77" s="6">
        <v>25</v>
      </c>
      <c r="T77" s="6"/>
      <c r="U77" s="6"/>
      <c r="V77" s="6"/>
      <c r="W77" s="6"/>
      <c r="X77" s="6"/>
      <c r="Y77" s="6"/>
      <c r="Z77" s="6">
        <v>59</v>
      </c>
      <c r="AA77" s="6"/>
      <c r="AB77" s="6">
        <f>SUM(E77:AA77)</f>
        <v>258</v>
      </c>
      <c r="AC77" s="6">
        <v>196</v>
      </c>
      <c r="AD77" s="9">
        <f>SUM(AB77:AC77)</f>
        <v>454</v>
      </c>
      <c r="AE77" s="8">
        <f>AB77/AD77</f>
        <v>0.56828193832599116</v>
      </c>
      <c r="AF77" s="6">
        <v>790</v>
      </c>
      <c r="AG77" s="6">
        <v>0</v>
      </c>
      <c r="AH77" s="6">
        <v>11</v>
      </c>
      <c r="AI77" s="9">
        <f>AH77+AG77+AF77</f>
        <v>801</v>
      </c>
      <c r="AJ77" s="8">
        <f>(AG77+AH77)/AI77</f>
        <v>1.3732833957553059E-2</v>
      </c>
      <c r="AK77" s="6">
        <f>SUM(E77:W77)</f>
        <v>199</v>
      </c>
    </row>
    <row r="78" spans="1:37" s="7" customFormat="1" ht="39" customHeight="1" x14ac:dyDescent="0.25">
      <c r="A78" s="13">
        <v>46146</v>
      </c>
      <c r="B78" s="21" t="s">
        <v>1</v>
      </c>
      <c r="C78" s="11" t="s">
        <v>9</v>
      </c>
      <c r="D78" s="11">
        <v>20</v>
      </c>
      <c r="E78" s="10">
        <v>29</v>
      </c>
      <c r="F78" s="10">
        <v>67</v>
      </c>
      <c r="G78" s="10">
        <v>24</v>
      </c>
      <c r="H78" s="10">
        <v>59</v>
      </c>
      <c r="I78" s="10">
        <v>49</v>
      </c>
      <c r="J78" s="10">
        <v>11</v>
      </c>
      <c r="K78" s="6"/>
      <c r="L78" s="6"/>
      <c r="M78" s="6"/>
      <c r="N78" s="6">
        <v>19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>
        <v>55</v>
      </c>
      <c r="AA78" s="6"/>
      <c r="AB78" s="6">
        <f>SUM(E78:AA78)</f>
        <v>313</v>
      </c>
      <c r="AC78" s="6">
        <v>407</v>
      </c>
      <c r="AD78" s="9">
        <f>SUM(AB78:AC78)</f>
        <v>720</v>
      </c>
      <c r="AE78" s="8">
        <f>AB78/AD78</f>
        <v>0.43472222222222223</v>
      </c>
      <c r="AF78" s="14">
        <v>435</v>
      </c>
      <c r="AG78" s="6">
        <v>0</v>
      </c>
      <c r="AH78" s="14">
        <v>15</v>
      </c>
      <c r="AI78" s="9">
        <f>AH78+AG78+AF78</f>
        <v>450</v>
      </c>
      <c r="AJ78" s="8">
        <f>(AG78+AH78)/AI78</f>
        <v>3.3333333333333333E-2</v>
      </c>
      <c r="AK78" s="6">
        <f>SUM(E78:W78)</f>
        <v>258</v>
      </c>
    </row>
    <row r="79" spans="1:37" s="7" customFormat="1" ht="39" customHeight="1" x14ac:dyDescent="0.25">
      <c r="A79" s="13">
        <v>46146</v>
      </c>
      <c r="B79" s="21" t="s">
        <v>1</v>
      </c>
      <c r="C79" s="11" t="s">
        <v>19</v>
      </c>
      <c r="D79" s="11">
        <v>21</v>
      </c>
      <c r="E79" s="10">
        <v>65</v>
      </c>
      <c r="F79" s="10">
        <v>65</v>
      </c>
      <c r="G79" s="10"/>
      <c r="H79" s="10">
        <v>59</v>
      </c>
      <c r="I79" s="10"/>
      <c r="J79" s="10"/>
      <c r="K79" s="6">
        <v>10</v>
      </c>
      <c r="L79" s="6"/>
      <c r="M79" s="6">
        <v>46</v>
      </c>
      <c r="N79" s="6"/>
      <c r="O79" s="6"/>
      <c r="P79" s="6"/>
      <c r="Q79" s="6"/>
      <c r="R79" s="6">
        <v>70</v>
      </c>
      <c r="S79" s="6"/>
      <c r="T79" s="6">
        <v>20</v>
      </c>
      <c r="U79" s="6"/>
      <c r="V79" s="6"/>
      <c r="W79" s="6"/>
      <c r="X79" s="6"/>
      <c r="Y79" s="6"/>
      <c r="Z79" s="6">
        <v>25</v>
      </c>
      <c r="AA79" s="6"/>
      <c r="AB79" s="6">
        <f>SUM(E79:AA79)</f>
        <v>360</v>
      </c>
      <c r="AC79" s="6">
        <v>401</v>
      </c>
      <c r="AD79" s="9">
        <f>SUM(AB79:AC79)</f>
        <v>761</v>
      </c>
      <c r="AE79" s="8">
        <f>AB79/AD79</f>
        <v>0.47306176084099871</v>
      </c>
      <c r="AF79" s="6">
        <v>805</v>
      </c>
      <c r="AG79" s="6">
        <v>0</v>
      </c>
      <c r="AH79" s="6">
        <v>11</v>
      </c>
      <c r="AI79" s="9">
        <f>AH79+AG79+AF79</f>
        <v>816</v>
      </c>
      <c r="AJ79" s="8">
        <f>(AG79+AH79)/AI79</f>
        <v>1.3480392156862746E-2</v>
      </c>
      <c r="AK79" s="6">
        <f>SUM(E79:W79)</f>
        <v>335</v>
      </c>
    </row>
    <row r="80" spans="1:37" s="7" customFormat="1" ht="39" customHeight="1" x14ac:dyDescent="0.25">
      <c r="A80" s="13">
        <v>46146</v>
      </c>
      <c r="B80" s="21" t="s">
        <v>1</v>
      </c>
      <c r="C80" s="11" t="s">
        <v>8</v>
      </c>
      <c r="D80" s="11">
        <v>22</v>
      </c>
      <c r="E80" s="10">
        <v>47</v>
      </c>
      <c r="F80" s="10">
        <v>29</v>
      </c>
      <c r="G80" s="10">
        <v>30</v>
      </c>
      <c r="H80" s="10">
        <v>19</v>
      </c>
      <c r="I80" s="10">
        <v>7</v>
      </c>
      <c r="J80" s="10">
        <v>30</v>
      </c>
      <c r="K80" s="6">
        <v>2</v>
      </c>
      <c r="L80" s="6">
        <v>4</v>
      </c>
      <c r="M80" s="6"/>
      <c r="N80" s="6"/>
      <c r="O80" s="6"/>
      <c r="P80" s="6"/>
      <c r="Q80" s="6"/>
      <c r="R80" s="6">
        <f>9+48</f>
        <v>57</v>
      </c>
      <c r="S80" s="6"/>
      <c r="T80" s="6"/>
      <c r="U80" s="6"/>
      <c r="V80" s="6">
        <v>5</v>
      </c>
      <c r="W80" s="6"/>
      <c r="X80" s="6">
        <v>20</v>
      </c>
      <c r="Y80" s="6"/>
      <c r="Z80" s="6">
        <v>10</v>
      </c>
      <c r="AA80" s="6"/>
      <c r="AB80" s="6">
        <f>SUM(E80:AA80)</f>
        <v>260</v>
      </c>
      <c r="AC80" s="6">
        <v>545</v>
      </c>
      <c r="AD80" s="9">
        <f>SUM(AB80:AC80)</f>
        <v>805</v>
      </c>
      <c r="AE80" s="8">
        <f>AB80/AD80</f>
        <v>0.32298136645962733</v>
      </c>
      <c r="AF80" s="6">
        <v>432</v>
      </c>
      <c r="AG80" s="6">
        <v>0</v>
      </c>
      <c r="AH80" s="6">
        <v>15</v>
      </c>
      <c r="AI80" s="9">
        <f>AH80+AG80+AF80</f>
        <v>447</v>
      </c>
      <c r="AJ80" s="8">
        <f>(AG80+AH80)/AI80</f>
        <v>3.3557046979865772E-2</v>
      </c>
      <c r="AK80" s="6">
        <f>SUM(E80:W80)</f>
        <v>230</v>
      </c>
    </row>
    <row r="81" spans="1:37" s="7" customFormat="1" ht="39" customHeight="1" x14ac:dyDescent="0.25">
      <c r="A81" s="13">
        <v>46146</v>
      </c>
      <c r="B81" s="21" t="s">
        <v>1</v>
      </c>
      <c r="C81" s="11" t="s">
        <v>10</v>
      </c>
      <c r="D81" s="11">
        <v>23</v>
      </c>
      <c r="E81" s="6">
        <f>13+27</f>
        <v>40</v>
      </c>
      <c r="F81" s="6">
        <v>79</v>
      </c>
      <c r="G81" s="6">
        <v>20</v>
      </c>
      <c r="H81" s="6">
        <v>58</v>
      </c>
      <c r="I81" s="6"/>
      <c r="J81" s="6"/>
      <c r="K81" s="6"/>
      <c r="L81" s="6"/>
      <c r="M81" s="6"/>
      <c r="N81" s="6"/>
      <c r="O81" s="6"/>
      <c r="P81" s="6"/>
      <c r="Q81" s="6"/>
      <c r="R81" s="6">
        <v>13</v>
      </c>
      <c r="S81" s="6"/>
      <c r="T81" s="6"/>
      <c r="U81" s="6"/>
      <c r="V81" s="6"/>
      <c r="W81" s="6"/>
      <c r="X81" s="6"/>
      <c r="Y81" s="6"/>
      <c r="Z81" s="6">
        <v>78</v>
      </c>
      <c r="AA81" s="6"/>
      <c r="AB81" s="6">
        <f>SUM(E81:AA81)</f>
        <v>288</v>
      </c>
      <c r="AC81" s="6">
        <v>205</v>
      </c>
      <c r="AD81" s="9">
        <f>SUM(AB81:AC81)</f>
        <v>493</v>
      </c>
      <c r="AE81" s="8">
        <f>AB81/AD81</f>
        <v>0.58417849898580121</v>
      </c>
      <c r="AF81" s="6">
        <v>593</v>
      </c>
      <c r="AG81" s="6">
        <v>0</v>
      </c>
      <c r="AH81" s="6">
        <v>26</v>
      </c>
      <c r="AI81" s="9">
        <f>AH81+AG81+AF81</f>
        <v>619</v>
      </c>
      <c r="AJ81" s="8">
        <f>(AG81+AH81)/AI81</f>
        <v>4.2003231017770599E-2</v>
      </c>
      <c r="AK81" s="6">
        <f>SUM(E81:W81)</f>
        <v>210</v>
      </c>
    </row>
    <row r="82" spans="1:37" s="7" customFormat="1" ht="39" customHeight="1" x14ac:dyDescent="0.25">
      <c r="A82" s="13">
        <v>46146</v>
      </c>
      <c r="B82" s="21" t="s">
        <v>1</v>
      </c>
      <c r="C82" s="21" t="s">
        <v>6</v>
      </c>
      <c r="D82" s="11">
        <v>24</v>
      </c>
      <c r="E82" s="6">
        <v>61</v>
      </c>
      <c r="F82" s="6">
        <v>33</v>
      </c>
      <c r="G82" s="6"/>
      <c r="H82" s="6">
        <v>5</v>
      </c>
      <c r="I82" s="6"/>
      <c r="J82" s="6">
        <v>3</v>
      </c>
      <c r="K82" s="6">
        <v>22</v>
      </c>
      <c r="L82" s="6"/>
      <c r="M82" s="6"/>
      <c r="N82" s="6">
        <v>5</v>
      </c>
      <c r="O82" s="6"/>
      <c r="P82" s="6"/>
      <c r="Q82" s="6"/>
      <c r="R82" s="6">
        <v>53</v>
      </c>
      <c r="S82" s="6"/>
      <c r="T82" s="6"/>
      <c r="U82" s="6"/>
      <c r="V82" s="6">
        <v>10</v>
      </c>
      <c r="W82" s="6"/>
      <c r="X82" s="6"/>
      <c r="Y82" s="6"/>
      <c r="Z82" s="6">
        <f>6+12</f>
        <v>18</v>
      </c>
      <c r="AA82" s="6"/>
      <c r="AB82" s="6">
        <f>SUM(E82:AA82)</f>
        <v>210</v>
      </c>
      <c r="AC82" s="6">
        <v>774</v>
      </c>
      <c r="AD82" s="6">
        <f>SUM(AB82:AC82)</f>
        <v>984</v>
      </c>
      <c r="AE82" s="8">
        <f>AB82/AD82</f>
        <v>0.21341463414634146</v>
      </c>
      <c r="AF82" s="6">
        <v>635</v>
      </c>
      <c r="AG82" s="6">
        <v>12</v>
      </c>
      <c r="AH82" s="14">
        <v>5</v>
      </c>
      <c r="AI82" s="9">
        <f>AH82+AG82+AF82</f>
        <v>652</v>
      </c>
      <c r="AJ82" s="8">
        <f>(AG82+AH82)/AI82</f>
        <v>2.6073619631901839E-2</v>
      </c>
      <c r="AK82" s="6">
        <f>SUM(E82:W82)</f>
        <v>192</v>
      </c>
    </row>
    <row r="83" spans="1:37" s="7" customFormat="1" ht="39" customHeight="1" x14ac:dyDescent="0.25">
      <c r="A83" s="13">
        <v>46146</v>
      </c>
      <c r="B83" s="27" t="s">
        <v>5</v>
      </c>
      <c r="C83" s="27" t="s">
        <v>4</v>
      </c>
      <c r="D83" s="11">
        <v>25</v>
      </c>
      <c r="E83" s="6">
        <v>135</v>
      </c>
      <c r="F83" s="6">
        <v>100</v>
      </c>
      <c r="G83" s="6">
        <v>35</v>
      </c>
      <c r="H83" s="6">
        <v>81</v>
      </c>
      <c r="I83" s="6"/>
      <c r="J83" s="6">
        <v>160</v>
      </c>
      <c r="K83" s="6"/>
      <c r="L83" s="6"/>
      <c r="M83" s="6"/>
      <c r="N83" s="6"/>
      <c r="O83" s="6"/>
      <c r="P83" s="6"/>
      <c r="Q83" s="6"/>
      <c r="R83" s="6">
        <v>75</v>
      </c>
      <c r="S83" s="6"/>
      <c r="T83" s="6"/>
      <c r="U83" s="6"/>
      <c r="V83" s="6"/>
      <c r="W83" s="6"/>
      <c r="X83" s="6"/>
      <c r="Y83" s="6"/>
      <c r="Z83" s="6">
        <v>110</v>
      </c>
      <c r="AA83" s="6"/>
      <c r="AB83" s="6">
        <f>SUM(E83:AA83)</f>
        <v>696</v>
      </c>
      <c r="AC83" s="6">
        <v>257</v>
      </c>
      <c r="AD83" s="9">
        <f>SUM(AB83:AC83)</f>
        <v>953</v>
      </c>
      <c r="AE83" s="8">
        <f>AB83/AD83</f>
        <v>0.73032528856243439</v>
      </c>
      <c r="AF83" s="14">
        <v>775</v>
      </c>
      <c r="AG83" s="6">
        <v>17</v>
      </c>
      <c r="AH83" s="14">
        <v>10</v>
      </c>
      <c r="AI83" s="9">
        <f>AH83+AG83+AF83</f>
        <v>802</v>
      </c>
      <c r="AJ83" s="8">
        <f>(AG83+AH83)/AI83</f>
        <v>3.366583541147132E-2</v>
      </c>
      <c r="AK83" s="6">
        <f>SUM(E83:W83)</f>
        <v>586</v>
      </c>
    </row>
    <row r="84" spans="1:37" s="7" customFormat="1" ht="39" customHeight="1" x14ac:dyDescent="0.25">
      <c r="A84" s="13">
        <v>46146</v>
      </c>
      <c r="B84" s="21" t="s">
        <v>1</v>
      </c>
      <c r="C84" s="11" t="s">
        <v>22</v>
      </c>
      <c r="D84" s="11">
        <v>26</v>
      </c>
      <c r="E84" s="10">
        <v>47</v>
      </c>
      <c r="F84" s="10">
        <v>86</v>
      </c>
      <c r="G84" s="10">
        <v>34</v>
      </c>
      <c r="H84" s="10"/>
      <c r="I84" s="10">
        <v>55</v>
      </c>
      <c r="J84" s="10">
        <v>24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>
        <v>14</v>
      </c>
      <c r="AA84" s="6"/>
      <c r="AB84" s="6">
        <f>SUM(E84:AA84)</f>
        <v>260</v>
      </c>
      <c r="AC84" s="6">
        <v>17</v>
      </c>
      <c r="AD84" s="9">
        <f>SUM(AB84:AC84)</f>
        <v>277</v>
      </c>
      <c r="AE84" s="8">
        <f>AB84/AD84</f>
        <v>0.93862815884476536</v>
      </c>
      <c r="AF84" s="14">
        <v>865</v>
      </c>
      <c r="AG84" s="6">
        <v>17</v>
      </c>
      <c r="AH84" s="6">
        <v>11</v>
      </c>
      <c r="AI84" s="9">
        <f>AH84+AG84+AF84</f>
        <v>893</v>
      </c>
      <c r="AJ84" s="8">
        <f>(AG84+AH84)/AI84</f>
        <v>3.1354983202687571E-2</v>
      </c>
      <c r="AK84" s="6">
        <f>SUM(E84:W84)</f>
        <v>246</v>
      </c>
    </row>
    <row r="85" spans="1:37" s="7" customFormat="1" ht="39" customHeight="1" x14ac:dyDescent="0.25">
      <c r="A85" s="13">
        <v>46146</v>
      </c>
      <c r="B85" s="21" t="s">
        <v>1</v>
      </c>
      <c r="C85" s="11" t="s">
        <v>24</v>
      </c>
      <c r="D85" s="11">
        <v>27</v>
      </c>
      <c r="E85" s="10">
        <f>33+64+14+30+32+15</f>
        <v>188</v>
      </c>
      <c r="F85" s="10">
        <f>20+23+80+8+21</f>
        <v>152</v>
      </c>
      <c r="G85" s="10">
        <v>45</v>
      </c>
      <c r="H85" s="10">
        <v>53</v>
      </c>
      <c r="I85" s="10">
        <v>111</v>
      </c>
      <c r="J85" s="10">
        <v>37</v>
      </c>
      <c r="K85" s="6"/>
      <c r="L85" s="6">
        <v>116</v>
      </c>
      <c r="M85" s="6"/>
      <c r="N85" s="6"/>
      <c r="O85" s="6"/>
      <c r="P85" s="6">
        <v>20</v>
      </c>
      <c r="Q85" s="6"/>
      <c r="R85" s="6">
        <f>77+56</f>
        <v>133</v>
      </c>
      <c r="S85" s="6"/>
      <c r="T85" s="6"/>
      <c r="U85" s="6"/>
      <c r="V85" s="6"/>
      <c r="W85" s="6"/>
      <c r="X85" s="6"/>
      <c r="Y85" s="6"/>
      <c r="Z85" s="6">
        <v>81</v>
      </c>
      <c r="AA85" s="6"/>
      <c r="AB85" s="6">
        <f>SUM(E85:AA85)</f>
        <v>936</v>
      </c>
      <c r="AC85" s="6">
        <v>23</v>
      </c>
      <c r="AD85" s="9">
        <f>SUM(AB85:AC85)</f>
        <v>959</v>
      </c>
      <c r="AE85" s="8">
        <f>AB85/AD85</f>
        <v>0.97601668404588116</v>
      </c>
      <c r="AF85" s="6">
        <v>515</v>
      </c>
      <c r="AG85" s="6">
        <v>0</v>
      </c>
      <c r="AH85" s="6">
        <v>21</v>
      </c>
      <c r="AI85" s="9">
        <f>AH85+AG85+AF85</f>
        <v>536</v>
      </c>
      <c r="AJ85" s="8">
        <f>(AG85+AH85)/AI85</f>
        <v>3.9179104477611942E-2</v>
      </c>
      <c r="AK85" s="6">
        <f>SUM(E85:W85)</f>
        <v>855</v>
      </c>
    </row>
    <row r="86" spans="1:37" s="7" customFormat="1" ht="39" customHeight="1" x14ac:dyDescent="0.25">
      <c r="A86" s="13">
        <v>46146</v>
      </c>
      <c r="B86" s="21" t="s">
        <v>1</v>
      </c>
      <c r="C86" s="11" t="s">
        <v>0</v>
      </c>
      <c r="D86" s="11">
        <v>28</v>
      </c>
      <c r="E86" s="21">
        <v>123</v>
      </c>
      <c r="F86" s="21">
        <v>36</v>
      </c>
      <c r="G86" s="21"/>
      <c r="H86" s="21">
        <v>19</v>
      </c>
      <c r="I86" s="21">
        <v>15</v>
      </c>
      <c r="J86" s="21">
        <v>27</v>
      </c>
      <c r="K86" s="21"/>
      <c r="L86" s="6"/>
      <c r="M86" s="21"/>
      <c r="N86" s="21"/>
      <c r="O86" s="21"/>
      <c r="P86" s="21">
        <v>15</v>
      </c>
      <c r="Q86" s="21"/>
      <c r="R86" s="6">
        <v>18</v>
      </c>
      <c r="S86" s="6"/>
      <c r="T86" s="6"/>
      <c r="U86" s="21"/>
      <c r="V86" s="21"/>
      <c r="W86" s="6"/>
      <c r="X86" s="6"/>
      <c r="Y86" s="6"/>
      <c r="Z86" s="6">
        <v>95</v>
      </c>
      <c r="AA86" s="6"/>
      <c r="AB86" s="6">
        <f>SUM(E86:AA86)</f>
        <v>348</v>
      </c>
      <c r="AC86" s="22">
        <v>33</v>
      </c>
      <c r="AD86" s="9">
        <f>SUM(AB86:AC86)</f>
        <v>381</v>
      </c>
      <c r="AE86" s="8">
        <f>AB86/AD86</f>
        <v>0.91338582677165359</v>
      </c>
      <c r="AF86" s="6">
        <v>413</v>
      </c>
      <c r="AG86" s="6">
        <v>4</v>
      </c>
      <c r="AH86" s="6">
        <v>15</v>
      </c>
      <c r="AI86" s="9">
        <f>AH86+AG86+AF86</f>
        <v>432</v>
      </c>
      <c r="AJ86" s="8">
        <f>(AG86+AH86)/AI86</f>
        <v>4.3981481481481483E-2</v>
      </c>
      <c r="AK86" s="6">
        <f>SUM(E86:W86)</f>
        <v>253</v>
      </c>
    </row>
    <row r="87" spans="1:37" s="7" customFormat="1" ht="39" customHeight="1" x14ac:dyDescent="0.25">
      <c r="A87" s="20">
        <v>46147</v>
      </c>
      <c r="B87" s="19" t="s">
        <v>1</v>
      </c>
      <c r="C87" s="25" t="s">
        <v>26</v>
      </c>
      <c r="D87" s="25">
        <v>1</v>
      </c>
      <c r="E87" s="24">
        <v>48</v>
      </c>
      <c r="F87" s="24">
        <v>17</v>
      </c>
      <c r="G87" s="24">
        <v>17</v>
      </c>
      <c r="H87" s="24"/>
      <c r="I87" s="24">
        <v>21</v>
      </c>
      <c r="J87" s="24"/>
      <c r="K87" s="15"/>
      <c r="L87" s="15"/>
      <c r="M87" s="15"/>
      <c r="N87" s="15"/>
      <c r="O87" s="15"/>
      <c r="P87" s="15"/>
      <c r="Q87" s="15"/>
      <c r="R87" s="15">
        <v>25</v>
      </c>
      <c r="S87" s="15"/>
      <c r="T87" s="15"/>
      <c r="U87" s="15"/>
      <c r="V87" s="15">
        <v>10</v>
      </c>
      <c r="W87" s="15"/>
      <c r="X87" s="15">
        <v>13</v>
      </c>
      <c r="Y87" s="15"/>
      <c r="Z87" s="15">
        <v>6</v>
      </c>
      <c r="AA87" s="15"/>
      <c r="AB87" s="15">
        <f>SUM(E87:AA87)</f>
        <v>157</v>
      </c>
      <c r="AC87" s="15">
        <v>552</v>
      </c>
      <c r="AD87" s="17">
        <f>SUM(AB87:AC87)</f>
        <v>709</v>
      </c>
      <c r="AE87" s="16">
        <f>AB87/AD87</f>
        <v>0.22143864598025387</v>
      </c>
      <c r="AF87" s="23">
        <v>906</v>
      </c>
      <c r="AG87" s="15">
        <v>0</v>
      </c>
      <c r="AH87" s="23">
        <v>9</v>
      </c>
      <c r="AI87" s="17">
        <f>AH87+AG87+AF87</f>
        <v>915</v>
      </c>
      <c r="AJ87" s="16">
        <f>(AG87+AH87)/AI87</f>
        <v>9.8360655737704927E-3</v>
      </c>
      <c r="AK87" s="15">
        <f>SUM(E87:W87)</f>
        <v>138</v>
      </c>
    </row>
    <row r="88" spans="1:37" s="7" customFormat="1" ht="39" customHeight="1" x14ac:dyDescent="0.25">
      <c r="A88" s="13">
        <v>46147</v>
      </c>
      <c r="B88" s="21" t="s">
        <v>1</v>
      </c>
      <c r="C88" s="11" t="s">
        <v>21</v>
      </c>
      <c r="D88" s="11">
        <v>2</v>
      </c>
      <c r="E88" s="10">
        <v>103</v>
      </c>
      <c r="F88" s="10">
        <v>77</v>
      </c>
      <c r="G88" s="10"/>
      <c r="H88" s="10">
        <v>35</v>
      </c>
      <c r="I88" s="10"/>
      <c r="J88" s="10">
        <v>22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>
        <v>36</v>
      </c>
      <c r="AA88" s="6"/>
      <c r="AB88" s="6">
        <f>SUM(E88:AA88)</f>
        <v>273</v>
      </c>
      <c r="AC88" s="6">
        <v>218</v>
      </c>
      <c r="AD88" s="9">
        <f>SUM(AB88:AC88)</f>
        <v>491</v>
      </c>
      <c r="AE88" s="8">
        <f>AB88/AD88</f>
        <v>0.55600814663951115</v>
      </c>
      <c r="AF88" s="6">
        <v>758</v>
      </c>
      <c r="AG88" s="6">
        <v>5</v>
      </c>
      <c r="AH88" s="6">
        <v>23</v>
      </c>
      <c r="AI88" s="9">
        <f>AH88+AG88+AF88</f>
        <v>786</v>
      </c>
      <c r="AJ88" s="8">
        <f>(AG88+AH88)/AI88</f>
        <v>3.5623409669211195E-2</v>
      </c>
      <c r="AK88" s="6">
        <f>SUM(E88:W88)</f>
        <v>237</v>
      </c>
    </row>
    <row r="89" spans="1:37" s="7" customFormat="1" ht="39" customHeight="1" x14ac:dyDescent="0.25">
      <c r="A89" s="13">
        <v>46147</v>
      </c>
      <c r="B89" s="21" t="s">
        <v>1</v>
      </c>
      <c r="C89" s="11" t="s">
        <v>9</v>
      </c>
      <c r="D89" s="11">
        <v>3</v>
      </c>
      <c r="E89" s="10">
        <v>42</v>
      </c>
      <c r="F89" s="10">
        <v>19</v>
      </c>
      <c r="G89" s="10">
        <v>29</v>
      </c>
      <c r="H89" s="10">
        <v>14</v>
      </c>
      <c r="I89" s="10"/>
      <c r="J89" s="10"/>
      <c r="K89" s="6"/>
      <c r="L89" s="6"/>
      <c r="M89" s="6"/>
      <c r="N89" s="6"/>
      <c r="O89" s="6"/>
      <c r="P89" s="6"/>
      <c r="Q89" s="6"/>
      <c r="R89" s="6">
        <v>27</v>
      </c>
      <c r="S89" s="6"/>
      <c r="T89" s="6"/>
      <c r="U89" s="6"/>
      <c r="V89" s="6"/>
      <c r="W89" s="6"/>
      <c r="X89" s="6"/>
      <c r="Y89" s="6"/>
      <c r="Z89" s="6">
        <v>38</v>
      </c>
      <c r="AA89" s="6"/>
      <c r="AB89" s="6">
        <f>SUM(E89:AA89)</f>
        <v>169</v>
      </c>
      <c r="AC89" s="6">
        <v>559</v>
      </c>
      <c r="AD89" s="9">
        <f>SUM(AB89:AC89)</f>
        <v>728</v>
      </c>
      <c r="AE89" s="8">
        <f>AB89/AD89</f>
        <v>0.23214285714285715</v>
      </c>
      <c r="AF89" s="6">
        <v>427</v>
      </c>
      <c r="AG89" s="6">
        <v>0</v>
      </c>
      <c r="AH89" s="6">
        <v>17</v>
      </c>
      <c r="AI89" s="9">
        <f>AH89+AG89+AF89</f>
        <v>444</v>
      </c>
      <c r="AJ89" s="8">
        <f>(AG89+AH89)/AI89</f>
        <v>3.8288288288288286E-2</v>
      </c>
      <c r="AK89" s="6">
        <f>SUM(E89:W89)</f>
        <v>131</v>
      </c>
    </row>
    <row r="90" spans="1:37" s="7" customFormat="1" ht="39" customHeight="1" x14ac:dyDescent="0.25">
      <c r="A90" s="13">
        <v>46147</v>
      </c>
      <c r="B90" s="21" t="s">
        <v>1</v>
      </c>
      <c r="C90" s="11" t="s">
        <v>16</v>
      </c>
      <c r="D90" s="11">
        <v>4</v>
      </c>
      <c r="E90" s="10"/>
      <c r="F90" s="10">
        <v>36</v>
      </c>
      <c r="G90" s="10">
        <v>10</v>
      </c>
      <c r="H90" s="10">
        <v>20</v>
      </c>
      <c r="I90" s="10"/>
      <c r="J90" s="10"/>
      <c r="K90" s="6"/>
      <c r="L90" s="6"/>
      <c r="M90" s="6"/>
      <c r="N90" s="6"/>
      <c r="O90" s="6"/>
      <c r="P90" s="6"/>
      <c r="Q90" s="6"/>
      <c r="R90" s="6">
        <v>35</v>
      </c>
      <c r="S90" s="6"/>
      <c r="T90" s="6"/>
      <c r="U90" s="6"/>
      <c r="V90" s="6"/>
      <c r="W90" s="6"/>
      <c r="X90" s="6"/>
      <c r="Y90" s="6"/>
      <c r="Z90" s="6"/>
      <c r="AA90" s="6"/>
      <c r="AB90" s="6">
        <f>SUM(E90:AA90)</f>
        <v>101</v>
      </c>
      <c r="AC90" s="6">
        <v>252</v>
      </c>
      <c r="AD90" s="9">
        <f>SUM(AB90:AC90)</f>
        <v>353</v>
      </c>
      <c r="AE90" s="8">
        <f>AB90/AD90</f>
        <v>0.28611898016997167</v>
      </c>
      <c r="AF90" s="6">
        <v>960</v>
      </c>
      <c r="AG90" s="6">
        <v>16</v>
      </c>
      <c r="AH90" s="14">
        <v>0</v>
      </c>
      <c r="AI90" s="9">
        <f>AH90+AG90+AF90</f>
        <v>976</v>
      </c>
      <c r="AJ90" s="8">
        <f>(AG90+AH90)/AI90</f>
        <v>1.6393442622950821E-2</v>
      </c>
      <c r="AK90" s="6">
        <f>SUM(E90:W90)</f>
        <v>101</v>
      </c>
    </row>
    <row r="91" spans="1:37" s="7" customFormat="1" ht="39" customHeight="1" x14ac:dyDescent="0.25">
      <c r="A91" s="13">
        <v>46147</v>
      </c>
      <c r="B91" s="12" t="s">
        <v>1</v>
      </c>
      <c r="C91" s="11" t="s">
        <v>16</v>
      </c>
      <c r="D91" s="21">
        <v>5</v>
      </c>
      <c r="E91" s="10">
        <v>201</v>
      </c>
      <c r="F91" s="10">
        <v>199</v>
      </c>
      <c r="G91" s="10">
        <v>96</v>
      </c>
      <c r="H91" s="10">
        <v>45</v>
      </c>
      <c r="I91" s="10"/>
      <c r="J91" s="10"/>
      <c r="K91" s="6"/>
      <c r="L91" s="6"/>
      <c r="M91" s="6"/>
      <c r="N91" s="6"/>
      <c r="O91" s="6"/>
      <c r="P91" s="6"/>
      <c r="Q91" s="6"/>
      <c r="R91" s="6">
        <v>15</v>
      </c>
      <c r="S91" s="6"/>
      <c r="T91" s="6"/>
      <c r="U91" s="6"/>
      <c r="V91" s="6"/>
      <c r="W91" s="6"/>
      <c r="X91" s="6"/>
      <c r="Y91" s="6"/>
      <c r="Z91" s="6">
        <v>70</v>
      </c>
      <c r="AA91" s="6"/>
      <c r="AB91" s="6">
        <f>SUM(E91:AA91)</f>
        <v>626</v>
      </c>
      <c r="AC91" s="6">
        <v>184</v>
      </c>
      <c r="AD91" s="9">
        <f>SUM(AB91:AC91)</f>
        <v>810</v>
      </c>
      <c r="AE91" s="8">
        <f>AB91/AD91</f>
        <v>0.77283950617283947</v>
      </c>
      <c r="AF91" s="6">
        <v>914</v>
      </c>
      <c r="AG91" s="6">
        <v>0</v>
      </c>
      <c r="AH91" s="14">
        <v>18</v>
      </c>
      <c r="AI91" s="9">
        <f>AH91+AG91+AF91</f>
        <v>932</v>
      </c>
      <c r="AJ91" s="8">
        <f>(AG91+AH91)/AI91</f>
        <v>1.9313304721030045E-2</v>
      </c>
      <c r="AK91" s="6">
        <f>SUM(E91:W91)</f>
        <v>556</v>
      </c>
    </row>
    <row r="92" spans="1:37" s="7" customFormat="1" ht="39" customHeight="1" x14ac:dyDescent="0.25">
      <c r="A92" s="13">
        <v>46147</v>
      </c>
      <c r="B92" s="21" t="s">
        <v>1</v>
      </c>
      <c r="C92" s="11" t="s">
        <v>15</v>
      </c>
      <c r="D92" s="11">
        <v>6</v>
      </c>
      <c r="E92" s="10">
        <v>24</v>
      </c>
      <c r="F92" s="10">
        <v>36</v>
      </c>
      <c r="G92" s="10"/>
      <c r="H92" s="10">
        <v>3</v>
      </c>
      <c r="I92" s="10">
        <v>10</v>
      </c>
      <c r="J92" s="10">
        <v>18</v>
      </c>
      <c r="K92" s="6">
        <v>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>
        <v>36</v>
      </c>
      <c r="AA92" s="6"/>
      <c r="AB92" s="6">
        <f>SUM(E92:AA92)</f>
        <v>133</v>
      </c>
      <c r="AC92" s="6">
        <v>350</v>
      </c>
      <c r="AD92" s="9">
        <f>SUM(AB92:AC92)</f>
        <v>483</v>
      </c>
      <c r="AE92" s="8">
        <f>AB92/AD92</f>
        <v>0.27536231884057971</v>
      </c>
      <c r="AF92" s="14">
        <v>910</v>
      </c>
      <c r="AG92" s="6">
        <v>0</v>
      </c>
      <c r="AH92" s="14">
        <v>18</v>
      </c>
      <c r="AI92" s="9">
        <f>AH92+AG92+AF92</f>
        <v>928</v>
      </c>
      <c r="AJ92" s="8">
        <f>(AG92+AH92)/AI92</f>
        <v>1.9396551724137932E-2</v>
      </c>
      <c r="AK92" s="6">
        <f>SUM(E92:W92)</f>
        <v>97</v>
      </c>
    </row>
    <row r="93" spans="1:37" s="7" customFormat="1" ht="39" customHeight="1" x14ac:dyDescent="0.25">
      <c r="A93" s="13">
        <v>46147</v>
      </c>
      <c r="B93" s="12" t="s">
        <v>1</v>
      </c>
      <c r="C93" s="11" t="s">
        <v>14</v>
      </c>
      <c r="D93" s="11">
        <v>7</v>
      </c>
      <c r="E93" s="10">
        <v>40</v>
      </c>
      <c r="F93" s="10">
        <v>40</v>
      </c>
      <c r="G93" s="10">
        <v>50</v>
      </c>
      <c r="H93" s="10">
        <v>10</v>
      </c>
      <c r="I93" s="10"/>
      <c r="J93" s="10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>
        <v>30</v>
      </c>
      <c r="Y93" s="6"/>
      <c r="Z93" s="6">
        <v>28</v>
      </c>
      <c r="AA93" s="6"/>
      <c r="AB93" s="6">
        <f>SUM(E93:AA93)</f>
        <v>198</v>
      </c>
      <c r="AC93" s="6">
        <v>499</v>
      </c>
      <c r="AD93" s="9">
        <f>SUM(AB93:AC93)</f>
        <v>697</v>
      </c>
      <c r="AE93" s="8">
        <f>AB93/AD93</f>
        <v>0.28407460545193686</v>
      </c>
      <c r="AF93" s="14">
        <v>904</v>
      </c>
      <c r="AG93" s="6">
        <v>8</v>
      </c>
      <c r="AH93" s="14">
        <v>14</v>
      </c>
      <c r="AI93" s="9">
        <f>AH93+AG93+AF93</f>
        <v>926</v>
      </c>
      <c r="AJ93" s="8">
        <f>(AG93+AH93)/AI93</f>
        <v>2.3758099352051837E-2</v>
      </c>
      <c r="AK93" s="6">
        <f>SUM(E93:W93)</f>
        <v>140</v>
      </c>
    </row>
    <row r="94" spans="1:37" s="7" customFormat="1" ht="39" customHeight="1" x14ac:dyDescent="0.25">
      <c r="A94" s="13">
        <v>46147</v>
      </c>
      <c r="B94" s="12" t="s">
        <v>1</v>
      </c>
      <c r="C94" s="11" t="s">
        <v>13</v>
      </c>
      <c r="D94" s="11">
        <v>8</v>
      </c>
      <c r="E94" s="10">
        <v>154</v>
      </c>
      <c r="F94" s="10">
        <v>134</v>
      </c>
      <c r="G94" s="10">
        <v>31</v>
      </c>
      <c r="H94" s="10">
        <v>118</v>
      </c>
      <c r="I94" s="10"/>
      <c r="J94" s="10">
        <v>98</v>
      </c>
      <c r="K94" s="6"/>
      <c r="L94" s="6"/>
      <c r="M94" s="6"/>
      <c r="N94" s="6"/>
      <c r="O94" s="6"/>
      <c r="P94" s="6"/>
      <c r="Q94" s="6"/>
      <c r="R94" s="6">
        <v>89</v>
      </c>
      <c r="S94" s="6"/>
      <c r="T94" s="6"/>
      <c r="U94" s="6"/>
      <c r="V94" s="6"/>
      <c r="W94" s="6"/>
      <c r="X94" s="6"/>
      <c r="Y94" s="6"/>
      <c r="Z94" s="6">
        <v>137</v>
      </c>
      <c r="AA94" s="6"/>
      <c r="AB94" s="6">
        <f>SUM(E94:AA94)</f>
        <v>761</v>
      </c>
      <c r="AC94" s="6">
        <v>511</v>
      </c>
      <c r="AD94" s="9">
        <f>SUM(AB94:AC94)</f>
        <v>1272</v>
      </c>
      <c r="AE94" s="8">
        <f>AB94/AD94</f>
        <v>0.59827044025157228</v>
      </c>
      <c r="AF94" s="6">
        <v>925</v>
      </c>
      <c r="AG94" s="6">
        <v>0</v>
      </c>
      <c r="AH94" s="6">
        <v>22</v>
      </c>
      <c r="AI94" s="9">
        <f>AH94+AG94+AF94</f>
        <v>947</v>
      </c>
      <c r="AJ94" s="8">
        <f>(AG94+AH94)/AI94</f>
        <v>2.3231256599788808E-2</v>
      </c>
      <c r="AK94" s="6">
        <f>SUM(E94:W94)</f>
        <v>624</v>
      </c>
    </row>
    <row r="95" spans="1:37" s="7" customFormat="1" ht="39" customHeight="1" x14ac:dyDescent="0.25">
      <c r="A95" s="13">
        <v>46147</v>
      </c>
      <c r="B95" s="21" t="s">
        <v>1</v>
      </c>
      <c r="C95" s="11" t="s">
        <v>12</v>
      </c>
      <c r="D95" s="11">
        <v>9</v>
      </c>
      <c r="E95" s="6">
        <v>192</v>
      </c>
      <c r="F95" s="10">
        <v>86</v>
      </c>
      <c r="G95" s="10">
        <v>33</v>
      </c>
      <c r="H95" s="10">
        <v>37</v>
      </c>
      <c r="I95" s="10"/>
      <c r="J95" s="10">
        <v>53</v>
      </c>
      <c r="K95" s="6"/>
      <c r="L95" s="6">
        <v>100</v>
      </c>
      <c r="M95" s="6"/>
      <c r="N95" s="6"/>
      <c r="O95" s="6"/>
      <c r="P95" s="6"/>
      <c r="Q95" s="6"/>
      <c r="R95" s="6">
        <v>254</v>
      </c>
      <c r="S95" s="6"/>
      <c r="T95" s="6"/>
      <c r="U95" s="6"/>
      <c r="V95" s="6"/>
      <c r="W95" s="6"/>
      <c r="X95" s="6"/>
      <c r="Y95" s="6"/>
      <c r="Z95" s="6">
        <v>76</v>
      </c>
      <c r="AA95" s="6"/>
      <c r="AB95" s="6">
        <f>SUM(E95:AA95)</f>
        <v>831</v>
      </c>
      <c r="AC95" s="6">
        <v>1323</v>
      </c>
      <c r="AD95" s="9">
        <f>SUM(AB95:AC95)</f>
        <v>2154</v>
      </c>
      <c r="AE95" s="8">
        <f>AB95/AD95</f>
        <v>0.38579387186629527</v>
      </c>
      <c r="AF95" s="14">
        <v>927</v>
      </c>
      <c r="AG95" s="6">
        <v>5</v>
      </c>
      <c r="AH95" s="14">
        <v>13</v>
      </c>
      <c r="AI95" s="9">
        <f>AH95+AG95+AF95</f>
        <v>945</v>
      </c>
      <c r="AJ95" s="8">
        <f>(AG95+AH95)/AI95</f>
        <v>1.9047619047619049E-2</v>
      </c>
      <c r="AK95" s="6">
        <f>SUM(E95:W95)</f>
        <v>755</v>
      </c>
    </row>
    <row r="96" spans="1:37" s="7" customFormat="1" ht="39" customHeight="1" x14ac:dyDescent="0.25">
      <c r="A96" s="13">
        <v>46147</v>
      </c>
      <c r="B96" s="12" t="s">
        <v>1</v>
      </c>
      <c r="C96" s="11" t="s">
        <v>0</v>
      </c>
      <c r="D96" s="11">
        <v>10</v>
      </c>
      <c r="E96" s="10">
        <v>73</v>
      </c>
      <c r="F96" s="10">
        <v>67</v>
      </c>
      <c r="G96" s="10">
        <v>10</v>
      </c>
      <c r="H96" s="10">
        <v>29</v>
      </c>
      <c r="I96" s="10"/>
      <c r="J96" s="10"/>
      <c r="K96" s="6"/>
      <c r="L96" s="6"/>
      <c r="M96" s="6"/>
      <c r="N96" s="6"/>
      <c r="O96" s="6"/>
      <c r="P96" s="6"/>
      <c r="Q96" s="6"/>
      <c r="R96" s="6">
        <v>16</v>
      </c>
      <c r="S96" s="6"/>
      <c r="T96" s="6"/>
      <c r="U96" s="6"/>
      <c r="V96" s="6">
        <v>23</v>
      </c>
      <c r="W96" s="6"/>
      <c r="X96" s="6"/>
      <c r="Y96" s="6"/>
      <c r="Z96" s="6">
        <v>27</v>
      </c>
      <c r="AA96" s="6"/>
      <c r="AB96" s="6">
        <f>SUM(E96:AA96)</f>
        <v>245</v>
      </c>
      <c r="AC96" s="6">
        <v>290</v>
      </c>
      <c r="AD96" s="9">
        <f>SUM(AB96:AC96)</f>
        <v>535</v>
      </c>
      <c r="AE96" s="8">
        <f>AB96/AD96</f>
        <v>0.45794392523364486</v>
      </c>
      <c r="AF96" s="6">
        <v>112</v>
      </c>
      <c r="AG96" s="6">
        <v>20</v>
      </c>
      <c r="AH96" s="6">
        <v>9</v>
      </c>
      <c r="AI96" s="9">
        <f>AH96+AG96+AF96</f>
        <v>141</v>
      </c>
      <c r="AJ96" s="8">
        <f>(AG96+AH96)/AI96</f>
        <v>0.20567375886524822</v>
      </c>
      <c r="AK96" s="6">
        <f>SUM(E96:W96)</f>
        <v>218</v>
      </c>
    </row>
    <row r="97" spans="1:37" s="7" customFormat="1" ht="39" customHeight="1" x14ac:dyDescent="0.25">
      <c r="A97" s="13">
        <v>46147</v>
      </c>
      <c r="B97" s="12" t="s">
        <v>1</v>
      </c>
      <c r="C97" s="11" t="s">
        <v>10</v>
      </c>
      <c r="D97" s="11">
        <v>11</v>
      </c>
      <c r="E97" s="6">
        <v>195</v>
      </c>
      <c r="F97" s="10">
        <v>273</v>
      </c>
      <c r="G97" s="10">
        <v>97</v>
      </c>
      <c r="H97" s="10">
        <v>159</v>
      </c>
      <c r="I97" s="10"/>
      <c r="J97" s="10">
        <v>32</v>
      </c>
      <c r="K97" s="6"/>
      <c r="L97" s="6"/>
      <c r="M97" s="6"/>
      <c r="N97" s="6"/>
      <c r="O97" s="6"/>
      <c r="P97" s="6"/>
      <c r="Q97" s="6"/>
      <c r="R97" s="6">
        <v>148</v>
      </c>
      <c r="S97" s="6"/>
      <c r="T97" s="6"/>
      <c r="U97" s="6"/>
      <c r="V97" s="6"/>
      <c r="W97" s="6"/>
      <c r="X97" s="6"/>
      <c r="Y97" s="6"/>
      <c r="Z97" s="6">
        <v>432</v>
      </c>
      <c r="AA97" s="6"/>
      <c r="AB97" s="6">
        <f>SUM(E97:AA97)</f>
        <v>1336</v>
      </c>
      <c r="AC97" s="6">
        <v>180</v>
      </c>
      <c r="AD97" s="9">
        <f>SUM(AB97:AC97)</f>
        <v>1516</v>
      </c>
      <c r="AE97" s="8">
        <f>AB97/AD97</f>
        <v>0.8812664907651715</v>
      </c>
      <c r="AF97" s="14">
        <v>618</v>
      </c>
      <c r="AG97" s="6">
        <v>0</v>
      </c>
      <c r="AH97" s="14">
        <v>20</v>
      </c>
      <c r="AI97" s="9">
        <f>AH97+AG97+AF97</f>
        <v>638</v>
      </c>
      <c r="AJ97" s="8">
        <f>(AG97+AH97)/AI97</f>
        <v>3.1347962382445138E-2</v>
      </c>
      <c r="AK97" s="6">
        <f>SUM(E97:W97)</f>
        <v>904</v>
      </c>
    </row>
    <row r="98" spans="1:37" s="7" customFormat="1" ht="39" customHeight="1" x14ac:dyDescent="0.25">
      <c r="A98" s="13">
        <v>46147</v>
      </c>
      <c r="B98" s="21" t="s">
        <v>1</v>
      </c>
      <c r="C98" s="11" t="s">
        <v>18</v>
      </c>
      <c r="D98" s="11">
        <v>13</v>
      </c>
      <c r="E98" s="6">
        <v>45</v>
      </c>
      <c r="F98" s="10">
        <v>74</v>
      </c>
      <c r="G98" s="10">
        <v>15</v>
      </c>
      <c r="H98" s="10">
        <v>15</v>
      </c>
      <c r="I98" s="10"/>
      <c r="J98" s="10">
        <v>7</v>
      </c>
      <c r="K98" s="6"/>
      <c r="L98" s="6">
        <v>5</v>
      </c>
      <c r="M98" s="6"/>
      <c r="N98" s="6"/>
      <c r="O98" s="6"/>
      <c r="P98" s="6"/>
      <c r="Q98" s="6"/>
      <c r="R98" s="6">
        <v>30</v>
      </c>
      <c r="S98" s="6"/>
      <c r="T98" s="6"/>
      <c r="U98" s="6"/>
      <c r="V98" s="6"/>
      <c r="W98" s="6"/>
      <c r="X98" s="6"/>
      <c r="Y98" s="6"/>
      <c r="Z98" s="6">
        <v>15</v>
      </c>
      <c r="AA98" s="6"/>
      <c r="AB98" s="6">
        <f>SUM(E98:AA98)</f>
        <v>206</v>
      </c>
      <c r="AC98" s="6">
        <v>190</v>
      </c>
      <c r="AD98" s="9">
        <f>SUM(AB98:AC98)</f>
        <v>396</v>
      </c>
      <c r="AE98" s="8">
        <f>AB98/AD98</f>
        <v>0.52020202020202022</v>
      </c>
      <c r="AF98" s="6">
        <v>768</v>
      </c>
      <c r="AG98" s="6">
        <v>0</v>
      </c>
      <c r="AH98" s="6">
        <v>17</v>
      </c>
      <c r="AI98" s="9">
        <f>AH98+AG98+AF98</f>
        <v>785</v>
      </c>
      <c r="AJ98" s="8">
        <f>(AG98+AH98)/AI98</f>
        <v>2.1656050955414011E-2</v>
      </c>
      <c r="AK98" s="6">
        <f>SUM(E98:W98)</f>
        <v>191</v>
      </c>
    </row>
    <row r="99" spans="1:37" s="7" customFormat="1" ht="39" customHeight="1" x14ac:dyDescent="0.25">
      <c r="A99" s="13">
        <v>46147</v>
      </c>
      <c r="B99" s="21" t="s">
        <v>1</v>
      </c>
      <c r="C99" s="11" t="s">
        <v>8</v>
      </c>
      <c r="D99" s="11">
        <v>14</v>
      </c>
      <c r="E99" s="10">
        <v>42</v>
      </c>
      <c r="F99" s="10">
        <v>36</v>
      </c>
      <c r="G99" s="10">
        <v>54</v>
      </c>
      <c r="H99" s="10">
        <v>31</v>
      </c>
      <c r="I99" s="10"/>
      <c r="J99" s="10"/>
      <c r="K99" s="6"/>
      <c r="L99" s="6">
        <v>15</v>
      </c>
      <c r="M99" s="6"/>
      <c r="N99" s="6"/>
      <c r="O99" s="6"/>
      <c r="P99" s="6"/>
      <c r="Q99" s="6"/>
      <c r="R99" s="6">
        <v>38</v>
      </c>
      <c r="S99" s="6"/>
      <c r="T99" s="6"/>
      <c r="U99" s="6"/>
      <c r="V99" s="6">
        <v>29</v>
      </c>
      <c r="W99" s="6"/>
      <c r="X99" s="6"/>
      <c r="Y99" s="6"/>
      <c r="Z99" s="6">
        <v>21</v>
      </c>
      <c r="AA99" s="6"/>
      <c r="AB99" s="6">
        <f>SUM(E99:AA99)</f>
        <v>266</v>
      </c>
      <c r="AC99" s="6">
        <v>553</v>
      </c>
      <c r="AD99" s="9">
        <f>SUM(AB99:AC99)</f>
        <v>819</v>
      </c>
      <c r="AE99" s="8">
        <f>AB99/AD99</f>
        <v>0.3247863247863248</v>
      </c>
      <c r="AF99" s="14">
        <v>782</v>
      </c>
      <c r="AG99" s="6">
        <v>0</v>
      </c>
      <c r="AH99" s="14">
        <v>19</v>
      </c>
      <c r="AI99" s="9">
        <f>AH99+AG99+AF99</f>
        <v>801</v>
      </c>
      <c r="AJ99" s="8">
        <f>(AG99+AH99)/AI99</f>
        <v>2.3720349563046191E-2</v>
      </c>
      <c r="AK99" s="6">
        <f>SUM(E99:W99)</f>
        <v>245</v>
      </c>
    </row>
    <row r="100" spans="1:37" s="7" customFormat="1" ht="39" customHeight="1" x14ac:dyDescent="0.25">
      <c r="A100" s="13">
        <v>46147</v>
      </c>
      <c r="B100" s="12" t="s">
        <v>1</v>
      </c>
      <c r="C100" s="11" t="s">
        <v>7</v>
      </c>
      <c r="D100" s="11">
        <v>15</v>
      </c>
      <c r="E100" s="10">
        <v>20</v>
      </c>
      <c r="F100" s="10">
        <v>1</v>
      </c>
      <c r="G100" s="10">
        <v>34</v>
      </c>
      <c r="H100" s="10">
        <v>2</v>
      </c>
      <c r="I100" s="10"/>
      <c r="J100" s="10"/>
      <c r="K100" s="6"/>
      <c r="L100" s="6">
        <v>2</v>
      </c>
      <c r="M100" s="6"/>
      <c r="N100" s="6">
        <v>6</v>
      </c>
      <c r="O100" s="6"/>
      <c r="P100" s="6"/>
      <c r="Q100" s="6"/>
      <c r="R100" s="6">
        <v>11</v>
      </c>
      <c r="S100" s="6"/>
      <c r="T100" s="6"/>
      <c r="U100" s="6"/>
      <c r="V100" s="6">
        <v>17</v>
      </c>
      <c r="W100" s="6"/>
      <c r="X100" s="6"/>
      <c r="Y100" s="6"/>
      <c r="Z100" s="6">
        <v>17</v>
      </c>
      <c r="AA100" s="6"/>
      <c r="AB100" s="6">
        <f>SUM(E100:AA100)</f>
        <v>110</v>
      </c>
      <c r="AC100" s="6">
        <v>47</v>
      </c>
      <c r="AD100" s="9">
        <f>SUM(AB100:AC100)</f>
        <v>157</v>
      </c>
      <c r="AE100" s="8">
        <f>AB100/AD100</f>
        <v>0.70063694267515919</v>
      </c>
      <c r="AF100" s="6">
        <v>270</v>
      </c>
      <c r="AG100" s="6">
        <v>0</v>
      </c>
      <c r="AH100" s="6">
        <v>40</v>
      </c>
      <c r="AI100" s="9">
        <f>AH100+AG100+AF100</f>
        <v>310</v>
      </c>
      <c r="AJ100" s="8">
        <f>(AG100+AH100)/AI100</f>
        <v>0.12903225806451613</v>
      </c>
      <c r="AK100" s="6">
        <f>SUM(E100:W100)</f>
        <v>93</v>
      </c>
    </row>
    <row r="101" spans="1:37" s="7" customFormat="1" ht="39" customHeight="1" x14ac:dyDescent="0.25">
      <c r="A101" s="13">
        <v>46147</v>
      </c>
      <c r="B101" s="21" t="s">
        <v>1</v>
      </c>
      <c r="C101" s="11" t="s">
        <v>10</v>
      </c>
      <c r="D101" s="11">
        <v>16</v>
      </c>
      <c r="E101" s="10">
        <v>105</v>
      </c>
      <c r="F101" s="10">
        <v>267</v>
      </c>
      <c r="G101" s="10">
        <v>97</v>
      </c>
      <c r="H101" s="10">
        <v>98</v>
      </c>
      <c r="I101" s="10"/>
      <c r="J101" s="10">
        <v>25</v>
      </c>
      <c r="K101" s="6"/>
      <c r="L101" s="6"/>
      <c r="M101" s="6"/>
      <c r="N101" s="6"/>
      <c r="O101" s="6"/>
      <c r="P101" s="6"/>
      <c r="Q101" s="6"/>
      <c r="R101" s="6">
        <v>137</v>
      </c>
      <c r="S101" s="6"/>
      <c r="T101" s="6"/>
      <c r="U101" s="6"/>
      <c r="V101" s="6"/>
      <c r="W101" s="6"/>
      <c r="X101" s="6"/>
      <c r="Y101" s="6"/>
      <c r="Z101" s="6">
        <v>45</v>
      </c>
      <c r="AA101" s="6"/>
      <c r="AB101" s="6">
        <f>SUM(E101:AA101)</f>
        <v>774</v>
      </c>
      <c r="AC101" s="6">
        <v>432</v>
      </c>
      <c r="AD101" s="9">
        <f>SUM(AB101:AC101)</f>
        <v>1206</v>
      </c>
      <c r="AE101" s="8">
        <f>AB101/AD101</f>
        <v>0.64179104477611937</v>
      </c>
      <c r="AF101" s="6">
        <v>230</v>
      </c>
      <c r="AG101" s="6">
        <v>0</v>
      </c>
      <c r="AH101" s="6">
        <v>30</v>
      </c>
      <c r="AI101" s="9">
        <f>AH101+AG101+AF101</f>
        <v>260</v>
      </c>
      <c r="AJ101" s="8">
        <f>(AG101+AH101)/AI101</f>
        <v>0.11538461538461539</v>
      </c>
      <c r="AK101" s="6">
        <f>SUM(E101:W101)</f>
        <v>729</v>
      </c>
    </row>
    <row r="102" spans="1:37" s="7" customFormat="1" ht="39" customHeight="1" x14ac:dyDescent="0.25">
      <c r="A102" s="13">
        <v>46147</v>
      </c>
      <c r="B102" s="21" t="s">
        <v>1</v>
      </c>
      <c r="C102" s="11" t="s">
        <v>12</v>
      </c>
      <c r="D102" s="11">
        <v>17</v>
      </c>
      <c r="E102" s="10">
        <f>18+75</f>
        <v>93</v>
      </c>
      <c r="F102" s="10">
        <v>46</v>
      </c>
      <c r="G102" s="10">
        <f>47+60</f>
        <v>107</v>
      </c>
      <c r="H102" s="10">
        <v>26</v>
      </c>
      <c r="I102" s="10"/>
      <c r="J102" s="10">
        <v>13</v>
      </c>
      <c r="K102" s="6"/>
      <c r="L102" s="6"/>
      <c r="M102" s="6"/>
      <c r="N102" s="6"/>
      <c r="O102" s="6"/>
      <c r="P102" s="6"/>
      <c r="Q102" s="6"/>
      <c r="R102" s="6">
        <f>54+60</f>
        <v>114</v>
      </c>
      <c r="S102" s="6"/>
      <c r="T102" s="6"/>
      <c r="U102" s="6"/>
      <c r="V102" s="6"/>
      <c r="W102" s="6"/>
      <c r="X102" s="6"/>
      <c r="Y102" s="6"/>
      <c r="Z102" s="6">
        <v>83</v>
      </c>
      <c r="AA102" s="6"/>
      <c r="AB102" s="6">
        <f>SUM(E102:AA102)</f>
        <v>482</v>
      </c>
      <c r="AC102" s="6">
        <v>686</v>
      </c>
      <c r="AD102" s="9">
        <f>SUM(AB102:AC102)</f>
        <v>1168</v>
      </c>
      <c r="AE102" s="8">
        <f>AB102/AD102</f>
        <v>0.41267123287671231</v>
      </c>
      <c r="AF102" s="14">
        <v>560</v>
      </c>
      <c r="AG102" s="6">
        <v>0</v>
      </c>
      <c r="AH102" s="14">
        <v>34</v>
      </c>
      <c r="AI102" s="9">
        <f>AH102+AG102+AF102</f>
        <v>594</v>
      </c>
      <c r="AJ102" s="8">
        <f>(AG102+AH102)/AI102</f>
        <v>5.7239057239057242E-2</v>
      </c>
      <c r="AK102" s="6">
        <f>SUM(E102:W102)</f>
        <v>399</v>
      </c>
    </row>
    <row r="103" spans="1:37" s="7" customFormat="1" ht="39" customHeight="1" x14ac:dyDescent="0.25">
      <c r="A103" s="13">
        <v>46147</v>
      </c>
      <c r="B103" s="21" t="s">
        <v>1</v>
      </c>
      <c r="C103" s="21" t="s">
        <v>6</v>
      </c>
      <c r="D103" s="21">
        <v>18</v>
      </c>
      <c r="E103" s="10">
        <v>21</v>
      </c>
      <c r="F103" s="10"/>
      <c r="G103" s="10"/>
      <c r="H103" s="10"/>
      <c r="I103" s="10"/>
      <c r="J103" s="10">
        <v>15</v>
      </c>
      <c r="K103" s="6"/>
      <c r="L103" s="6"/>
      <c r="M103" s="6"/>
      <c r="N103" s="6">
        <v>35</v>
      </c>
      <c r="O103" s="6"/>
      <c r="P103" s="6"/>
      <c r="Q103" s="6"/>
      <c r="R103" s="6">
        <v>20</v>
      </c>
      <c r="S103" s="6"/>
      <c r="T103" s="6"/>
      <c r="U103" s="6"/>
      <c r="V103" s="6">
        <v>15</v>
      </c>
      <c r="W103" s="6"/>
      <c r="X103" s="6"/>
      <c r="Y103" s="6"/>
      <c r="Z103" s="6">
        <v>35</v>
      </c>
      <c r="AA103" s="6"/>
      <c r="AB103" s="6">
        <f>SUM(E103:AA103)</f>
        <v>141</v>
      </c>
      <c r="AC103" s="6">
        <v>660</v>
      </c>
      <c r="AD103" s="9">
        <f>SUM(AB103:AC103)</f>
        <v>801</v>
      </c>
      <c r="AE103" s="8">
        <f>AB103/AD103</f>
        <v>0.17602996254681649</v>
      </c>
      <c r="AF103" s="6">
        <v>163</v>
      </c>
      <c r="AG103" s="6">
        <v>0</v>
      </c>
      <c r="AH103" s="6">
        <v>12</v>
      </c>
      <c r="AI103" s="9">
        <f>AH103+AG103+AF103</f>
        <v>175</v>
      </c>
      <c r="AJ103" s="8">
        <f>(AG103+AH103)/AI103</f>
        <v>6.8571428571428575E-2</v>
      </c>
      <c r="AK103" s="6">
        <f>SUM(E103:W103)</f>
        <v>106</v>
      </c>
    </row>
    <row r="104" spans="1:37" s="7" customFormat="1" ht="39" customHeight="1" x14ac:dyDescent="0.25">
      <c r="A104" s="13">
        <v>46147</v>
      </c>
      <c r="B104" s="21" t="s">
        <v>1</v>
      </c>
      <c r="C104" s="11" t="s">
        <v>2</v>
      </c>
      <c r="D104" s="11">
        <v>19</v>
      </c>
      <c r="E104" s="10">
        <v>146</v>
      </c>
      <c r="F104" s="10">
        <v>60</v>
      </c>
      <c r="G104" s="10"/>
      <c r="H104" s="10">
        <v>37</v>
      </c>
      <c r="I104" s="10">
        <v>106</v>
      </c>
      <c r="J104" s="10"/>
      <c r="K104" s="6"/>
      <c r="L104" s="6"/>
      <c r="M104" s="6"/>
      <c r="N104" s="6"/>
      <c r="O104" s="6"/>
      <c r="P104" s="6"/>
      <c r="Q104" s="6"/>
      <c r="R104" s="6">
        <v>93</v>
      </c>
      <c r="S104" s="6"/>
      <c r="T104" s="6"/>
      <c r="U104" s="6"/>
      <c r="V104" s="6"/>
      <c r="W104" s="6"/>
      <c r="X104" s="6"/>
      <c r="Y104" s="6"/>
      <c r="Z104" s="6">
        <v>153</v>
      </c>
      <c r="AA104" s="6"/>
      <c r="AB104" s="6">
        <f>SUM(E104:AA104)</f>
        <v>595</v>
      </c>
      <c r="AC104" s="6">
        <v>92</v>
      </c>
      <c r="AD104" s="9">
        <f>SUM(AB104:AC104)</f>
        <v>687</v>
      </c>
      <c r="AE104" s="8">
        <f>AB104/AD104</f>
        <v>0.86608442503639005</v>
      </c>
      <c r="AF104" s="14">
        <v>420</v>
      </c>
      <c r="AG104" s="6">
        <v>0</v>
      </c>
      <c r="AH104" s="14">
        <v>12</v>
      </c>
      <c r="AI104" s="9">
        <f>AH104+AG104+AF104</f>
        <v>432</v>
      </c>
      <c r="AJ104" s="8">
        <f>(AG104+AH104)/AI104</f>
        <v>2.7777777777777776E-2</v>
      </c>
      <c r="AK104" s="6">
        <f>SUM(E104:W104)</f>
        <v>442</v>
      </c>
    </row>
    <row r="105" spans="1:37" s="7" customFormat="1" ht="39" customHeight="1" x14ac:dyDescent="0.25">
      <c r="A105" s="13">
        <v>46147</v>
      </c>
      <c r="B105" s="21" t="s">
        <v>1</v>
      </c>
      <c r="C105" s="11" t="s">
        <v>9</v>
      </c>
      <c r="D105" s="11">
        <v>20</v>
      </c>
      <c r="E105" s="6">
        <v>44</v>
      </c>
      <c r="F105" s="10">
        <v>46</v>
      </c>
      <c r="G105" s="10"/>
      <c r="H105" s="10">
        <v>101</v>
      </c>
      <c r="I105" s="10">
        <v>32</v>
      </c>
      <c r="J105" s="10"/>
      <c r="K105" s="6"/>
      <c r="L105" s="6"/>
      <c r="M105" s="6"/>
      <c r="N105" s="6"/>
      <c r="O105" s="6"/>
      <c r="P105" s="6"/>
      <c r="Q105" s="6"/>
      <c r="R105" s="6">
        <v>19</v>
      </c>
      <c r="S105" s="6"/>
      <c r="T105" s="6"/>
      <c r="U105" s="6"/>
      <c r="V105" s="6"/>
      <c r="W105" s="6"/>
      <c r="X105" s="6"/>
      <c r="Y105" s="6"/>
      <c r="Z105" s="6">
        <v>85</v>
      </c>
      <c r="AA105" s="6"/>
      <c r="AB105" s="6">
        <f>SUM(E105:AA105)</f>
        <v>327</v>
      </c>
      <c r="AC105" s="6">
        <v>343</v>
      </c>
      <c r="AD105" s="9">
        <f>SUM(AB105:AC105)</f>
        <v>670</v>
      </c>
      <c r="AE105" s="8">
        <f>AB105/AD105</f>
        <v>0.4880597014925373</v>
      </c>
      <c r="AF105" s="6">
        <v>400</v>
      </c>
      <c r="AG105" s="6">
        <v>0</v>
      </c>
      <c r="AH105" s="6">
        <v>12</v>
      </c>
      <c r="AI105" s="9">
        <f>AH105+AG105+AF105</f>
        <v>412</v>
      </c>
      <c r="AJ105" s="8">
        <f>(AG105+AH105)/AI105</f>
        <v>2.9126213592233011E-2</v>
      </c>
      <c r="AK105" s="6">
        <f>SUM(E105:W105)</f>
        <v>242</v>
      </c>
    </row>
    <row r="106" spans="1:37" s="7" customFormat="1" ht="39" customHeight="1" x14ac:dyDescent="0.25">
      <c r="A106" s="13">
        <v>46147</v>
      </c>
      <c r="B106" s="21" t="s">
        <v>1</v>
      </c>
      <c r="C106" s="11" t="s">
        <v>19</v>
      </c>
      <c r="D106" s="11">
        <v>21</v>
      </c>
      <c r="E106" s="10">
        <v>85</v>
      </c>
      <c r="F106" s="10">
        <v>40</v>
      </c>
      <c r="G106" s="10">
        <v>35</v>
      </c>
      <c r="H106" s="10">
        <v>75</v>
      </c>
      <c r="I106" s="10"/>
      <c r="J106" s="10"/>
      <c r="K106" s="6">
        <v>15</v>
      </c>
      <c r="L106" s="6">
        <v>30</v>
      </c>
      <c r="M106" s="6">
        <v>85</v>
      </c>
      <c r="N106" s="6"/>
      <c r="O106" s="6"/>
      <c r="P106" s="6"/>
      <c r="Q106" s="6"/>
      <c r="R106" s="6">
        <v>102</v>
      </c>
      <c r="S106" s="6"/>
      <c r="T106" s="6">
        <v>40</v>
      </c>
      <c r="U106" s="6"/>
      <c r="V106" s="6"/>
      <c r="W106" s="6"/>
      <c r="X106" s="6"/>
      <c r="Y106" s="6"/>
      <c r="Z106" s="6">
        <v>67</v>
      </c>
      <c r="AA106" s="6"/>
      <c r="AB106" s="6">
        <f>SUM(E106:AA106)</f>
        <v>574</v>
      </c>
      <c r="AC106" s="6">
        <v>398</v>
      </c>
      <c r="AD106" s="9">
        <f>SUM(AB106:AC106)</f>
        <v>972</v>
      </c>
      <c r="AE106" s="8">
        <f>AB106/AD106</f>
        <v>0.59053497942386834</v>
      </c>
      <c r="AF106" s="6">
        <v>830</v>
      </c>
      <c r="AG106" s="6">
        <v>0</v>
      </c>
      <c r="AH106" s="6">
        <v>16</v>
      </c>
      <c r="AI106" s="9">
        <f>AH106+AG106+AF106</f>
        <v>846</v>
      </c>
      <c r="AJ106" s="8">
        <f>(AG106+AH106)/AI106</f>
        <v>1.8912529550827423E-2</v>
      </c>
      <c r="AK106" s="6">
        <f>SUM(E106:W106)</f>
        <v>507</v>
      </c>
    </row>
    <row r="107" spans="1:37" s="7" customFormat="1" ht="39" customHeight="1" x14ac:dyDescent="0.25">
      <c r="A107" s="13">
        <v>46147</v>
      </c>
      <c r="B107" s="21" t="s">
        <v>1</v>
      </c>
      <c r="C107" s="11" t="s">
        <v>8</v>
      </c>
      <c r="D107" s="11">
        <v>22</v>
      </c>
      <c r="E107" s="10">
        <v>47</v>
      </c>
      <c r="F107" s="10">
        <v>32</v>
      </c>
      <c r="G107" s="10">
        <v>6</v>
      </c>
      <c r="H107" s="10">
        <v>12</v>
      </c>
      <c r="I107" s="10">
        <v>10</v>
      </c>
      <c r="J107" s="10">
        <v>12</v>
      </c>
      <c r="K107" s="6"/>
      <c r="L107" s="6">
        <v>5</v>
      </c>
      <c r="M107" s="6"/>
      <c r="N107" s="6"/>
      <c r="O107" s="6">
        <v>5</v>
      </c>
      <c r="P107" s="6"/>
      <c r="Q107" s="6"/>
      <c r="R107" s="6">
        <f>3+46</f>
        <v>49</v>
      </c>
      <c r="S107" s="6"/>
      <c r="T107" s="6"/>
      <c r="U107" s="6"/>
      <c r="V107" s="6">
        <v>11</v>
      </c>
      <c r="W107" s="6"/>
      <c r="X107" s="6">
        <v>5</v>
      </c>
      <c r="Y107" s="6"/>
      <c r="Z107" s="6">
        <v>2</v>
      </c>
      <c r="AA107" s="6"/>
      <c r="AB107" s="6">
        <f>SUM(E107:AA107)</f>
        <v>196</v>
      </c>
      <c r="AC107" s="6">
        <v>547</v>
      </c>
      <c r="AD107" s="9">
        <f>SUM(AB107:AC107)</f>
        <v>743</v>
      </c>
      <c r="AE107" s="8">
        <f>AB107/AD107</f>
        <v>0.26379542395693134</v>
      </c>
      <c r="AF107" s="6">
        <v>633</v>
      </c>
      <c r="AG107" s="6">
        <v>0</v>
      </c>
      <c r="AH107" s="6">
        <v>22</v>
      </c>
      <c r="AI107" s="9">
        <f>AH107+AG107+AF107</f>
        <v>655</v>
      </c>
      <c r="AJ107" s="8">
        <f>(AG107+AH107)/AI107</f>
        <v>3.3587786259541987E-2</v>
      </c>
      <c r="AK107" s="6">
        <f>SUM(E107:W107)</f>
        <v>189</v>
      </c>
    </row>
    <row r="108" spans="1:37" s="7" customFormat="1" ht="39" customHeight="1" x14ac:dyDescent="0.25">
      <c r="A108" s="13">
        <v>46147</v>
      </c>
      <c r="B108" s="21" t="s">
        <v>1</v>
      </c>
      <c r="C108" s="11" t="s">
        <v>10</v>
      </c>
      <c r="D108" s="11">
        <v>23</v>
      </c>
      <c r="E108" s="10">
        <v>94</v>
      </c>
      <c r="F108" s="10">
        <v>118</v>
      </c>
      <c r="G108" s="10"/>
      <c r="H108" s="10">
        <v>85</v>
      </c>
      <c r="I108" s="10">
        <v>53</v>
      </c>
      <c r="J108" s="10"/>
      <c r="K108" s="6"/>
      <c r="L108" s="6"/>
      <c r="M108" s="6"/>
      <c r="N108" s="6"/>
      <c r="O108" s="6"/>
      <c r="P108" s="6"/>
      <c r="Q108" s="6"/>
      <c r="R108" s="6">
        <v>62</v>
      </c>
      <c r="S108" s="6"/>
      <c r="T108" s="6"/>
      <c r="U108" s="6"/>
      <c r="V108" s="6"/>
      <c r="W108" s="6"/>
      <c r="X108" s="6"/>
      <c r="Y108" s="6"/>
      <c r="Z108" s="6">
        <v>124</v>
      </c>
      <c r="AA108" s="6"/>
      <c r="AB108" s="6">
        <f>SUM(E108:AA108)</f>
        <v>536</v>
      </c>
      <c r="AC108" s="6">
        <v>199</v>
      </c>
      <c r="AD108" s="9">
        <f>SUM(AB108:AC108)</f>
        <v>735</v>
      </c>
      <c r="AE108" s="8">
        <f>AB108/AD108</f>
        <v>0.72925170068027212</v>
      </c>
      <c r="AF108" s="14">
        <v>650</v>
      </c>
      <c r="AG108" s="6">
        <v>0</v>
      </c>
      <c r="AH108" s="14">
        <v>20</v>
      </c>
      <c r="AI108" s="9">
        <f>AH108+AG108+AF108</f>
        <v>670</v>
      </c>
      <c r="AJ108" s="8">
        <f>(AG108+AH108)/AI108</f>
        <v>2.9850746268656716E-2</v>
      </c>
      <c r="AK108" s="6">
        <f>SUM(E108:W108)</f>
        <v>412</v>
      </c>
    </row>
    <row r="109" spans="1:37" s="7" customFormat="1" ht="39" customHeight="1" x14ac:dyDescent="0.25">
      <c r="A109" s="13">
        <v>46147</v>
      </c>
      <c r="B109" s="21" t="s">
        <v>1</v>
      </c>
      <c r="C109" s="21" t="s">
        <v>6</v>
      </c>
      <c r="D109" s="11">
        <v>24</v>
      </c>
      <c r="E109" s="10">
        <v>84</v>
      </c>
      <c r="F109" s="10">
        <v>27</v>
      </c>
      <c r="G109" s="10"/>
      <c r="H109" s="10">
        <v>2</v>
      </c>
      <c r="I109" s="10"/>
      <c r="J109" s="10">
        <v>5</v>
      </c>
      <c r="K109" s="6">
        <v>5</v>
      </c>
      <c r="L109" s="6"/>
      <c r="M109" s="6"/>
      <c r="N109" s="6">
        <v>6</v>
      </c>
      <c r="O109" s="6"/>
      <c r="P109" s="6"/>
      <c r="Q109" s="6"/>
      <c r="R109" s="6">
        <v>47</v>
      </c>
      <c r="S109" s="6"/>
      <c r="T109" s="6"/>
      <c r="U109" s="6"/>
      <c r="V109" s="6">
        <v>7</v>
      </c>
      <c r="W109" s="6"/>
      <c r="X109" s="6"/>
      <c r="Y109" s="6"/>
      <c r="Z109" s="6">
        <v>15</v>
      </c>
      <c r="AA109" s="6"/>
      <c r="AB109" s="6">
        <f>SUM(E109:AA109)</f>
        <v>198</v>
      </c>
      <c r="AC109" s="6">
        <v>701</v>
      </c>
      <c r="AD109" s="9">
        <f>SUM(AB109:AC109)</f>
        <v>899</v>
      </c>
      <c r="AE109" s="8">
        <f>AB109/AD109</f>
        <v>0.22024471635150167</v>
      </c>
      <c r="AF109" s="14">
        <v>305</v>
      </c>
      <c r="AG109" s="6">
        <v>10</v>
      </c>
      <c r="AH109" s="14">
        <v>5</v>
      </c>
      <c r="AI109" s="9">
        <f>AH109+AG109+AF109</f>
        <v>320</v>
      </c>
      <c r="AJ109" s="8">
        <f>(AG109+AH109)/AI109</f>
        <v>4.6875E-2</v>
      </c>
      <c r="AK109" s="6">
        <f>SUM(E109:W109)</f>
        <v>183</v>
      </c>
    </row>
    <row r="110" spans="1:37" s="7" customFormat="1" ht="39" customHeight="1" x14ac:dyDescent="0.25">
      <c r="A110" s="13">
        <v>46147</v>
      </c>
      <c r="B110" s="27" t="s">
        <v>5</v>
      </c>
      <c r="C110" s="27" t="s">
        <v>4</v>
      </c>
      <c r="D110" s="11">
        <v>25</v>
      </c>
      <c r="E110" s="10">
        <v>65</v>
      </c>
      <c r="F110" s="10">
        <v>88</v>
      </c>
      <c r="G110" s="10">
        <v>85</v>
      </c>
      <c r="H110" s="10">
        <v>35</v>
      </c>
      <c r="I110" s="10"/>
      <c r="J110" s="10">
        <v>115</v>
      </c>
      <c r="K110" s="6">
        <v>15</v>
      </c>
      <c r="L110" s="6"/>
      <c r="M110" s="6"/>
      <c r="N110" s="6"/>
      <c r="O110" s="6"/>
      <c r="P110" s="6"/>
      <c r="Q110" s="6"/>
      <c r="R110" s="6">
        <v>70</v>
      </c>
      <c r="S110" s="6"/>
      <c r="T110" s="6"/>
      <c r="U110" s="6"/>
      <c r="V110" s="6"/>
      <c r="W110" s="6"/>
      <c r="X110" s="6"/>
      <c r="Y110" s="6"/>
      <c r="Z110" s="6">
        <v>125</v>
      </c>
      <c r="AA110" s="6"/>
      <c r="AB110" s="6">
        <f>SUM(E110:AA110)</f>
        <v>598</v>
      </c>
      <c r="AC110" s="6">
        <v>210</v>
      </c>
      <c r="AD110" s="9">
        <f>SUM(AB110:AC110)</f>
        <v>808</v>
      </c>
      <c r="AE110" s="8">
        <f>AB110/AD110</f>
        <v>0.74009900990099009</v>
      </c>
      <c r="AF110" s="6">
        <v>850</v>
      </c>
      <c r="AG110" s="6">
        <v>27</v>
      </c>
      <c r="AH110" s="6">
        <v>5</v>
      </c>
      <c r="AI110" s="9">
        <f>AH110+AG110+AF110</f>
        <v>882</v>
      </c>
      <c r="AJ110" s="8">
        <f>(AG110+AH110)/AI110</f>
        <v>3.6281179138321996E-2</v>
      </c>
      <c r="AK110" s="6">
        <f>SUM(E110:W110)</f>
        <v>473</v>
      </c>
    </row>
    <row r="111" spans="1:37" s="7" customFormat="1" ht="39" customHeight="1" x14ac:dyDescent="0.25">
      <c r="A111" s="13">
        <v>46147</v>
      </c>
      <c r="B111" s="21" t="s">
        <v>1</v>
      </c>
      <c r="C111" s="11" t="s">
        <v>22</v>
      </c>
      <c r="D111" s="11">
        <v>26</v>
      </c>
      <c r="E111" s="21">
        <v>143</v>
      </c>
      <c r="F111" s="21">
        <v>77</v>
      </c>
      <c r="G111" s="21">
        <v>64</v>
      </c>
      <c r="H111" s="21"/>
      <c r="I111" s="21">
        <v>109</v>
      </c>
      <c r="J111" s="21">
        <v>39</v>
      </c>
      <c r="K111" s="21"/>
      <c r="L111" s="6"/>
      <c r="M111" s="21"/>
      <c r="N111" s="21">
        <v>28</v>
      </c>
      <c r="O111" s="21"/>
      <c r="P111" s="21"/>
      <c r="Q111" s="21"/>
      <c r="R111" s="6"/>
      <c r="S111" s="6"/>
      <c r="T111" s="6"/>
      <c r="U111" s="21"/>
      <c r="V111" s="21">
        <v>4</v>
      </c>
      <c r="W111" s="6"/>
      <c r="X111" s="6"/>
      <c r="Y111" s="6"/>
      <c r="Z111" s="6">
        <v>21</v>
      </c>
      <c r="AA111" s="6"/>
      <c r="AB111" s="6">
        <f>SUM(E111:AA111)</f>
        <v>485</v>
      </c>
      <c r="AC111" s="6">
        <v>23</v>
      </c>
      <c r="AD111" s="9">
        <f>SUM(AB111:AC111)</f>
        <v>508</v>
      </c>
      <c r="AE111" s="8">
        <f>AB111/AD111</f>
        <v>0.95472440944881887</v>
      </c>
      <c r="AF111" s="6">
        <v>850</v>
      </c>
      <c r="AG111" s="6">
        <v>17</v>
      </c>
      <c r="AH111" s="6">
        <v>5</v>
      </c>
      <c r="AI111" s="9">
        <f>AH111+AG111+AF111</f>
        <v>872</v>
      </c>
      <c r="AJ111" s="8">
        <f>(AG111+AH111)/AI111</f>
        <v>2.5229357798165139E-2</v>
      </c>
      <c r="AK111" s="6">
        <f>SUM(E111:W111)</f>
        <v>464</v>
      </c>
    </row>
    <row r="112" spans="1:37" s="7" customFormat="1" ht="39" customHeight="1" x14ac:dyDescent="0.25">
      <c r="A112" s="13">
        <v>46147</v>
      </c>
      <c r="B112" s="21" t="s">
        <v>1</v>
      </c>
      <c r="C112" s="11" t="s">
        <v>24</v>
      </c>
      <c r="D112" s="11">
        <v>27</v>
      </c>
      <c r="E112" s="10">
        <v>187</v>
      </c>
      <c r="F112" s="10">
        <f>234+25</f>
        <v>259</v>
      </c>
      <c r="G112" s="10">
        <v>37</v>
      </c>
      <c r="H112" s="10">
        <v>42</v>
      </c>
      <c r="I112" s="10">
        <v>131</v>
      </c>
      <c r="J112" s="10"/>
      <c r="K112" s="6"/>
      <c r="L112" s="6">
        <v>54</v>
      </c>
      <c r="M112" s="6"/>
      <c r="N112" s="6"/>
      <c r="O112" s="6">
        <v>59</v>
      </c>
      <c r="P112" s="6">
        <v>111</v>
      </c>
      <c r="Q112" s="6"/>
      <c r="R112" s="6"/>
      <c r="S112" s="6"/>
      <c r="T112" s="6"/>
      <c r="U112" s="6"/>
      <c r="V112" s="6"/>
      <c r="W112" s="6"/>
      <c r="X112" s="6"/>
      <c r="Y112" s="6"/>
      <c r="Z112" s="6">
        <v>67</v>
      </c>
      <c r="AA112" s="6"/>
      <c r="AB112" s="6">
        <f>SUM(E112:AA112)</f>
        <v>947</v>
      </c>
      <c r="AC112" s="22">
        <v>102</v>
      </c>
      <c r="AD112" s="9">
        <f>SUM(AB112:AC112)</f>
        <v>1049</v>
      </c>
      <c r="AE112" s="8">
        <f>AB112/AD112</f>
        <v>0.90276453765490938</v>
      </c>
      <c r="AF112" s="6">
        <v>617</v>
      </c>
      <c r="AG112" s="6">
        <v>0</v>
      </c>
      <c r="AH112" s="6">
        <v>22</v>
      </c>
      <c r="AI112" s="9">
        <f>AH112+AG112+AF112</f>
        <v>639</v>
      </c>
      <c r="AJ112" s="8">
        <f>(AG112+AH112)/AI112</f>
        <v>3.4428794992175271E-2</v>
      </c>
      <c r="AK112" s="6">
        <f>SUM(E112:W112)</f>
        <v>880</v>
      </c>
    </row>
    <row r="113" spans="1:37" s="7" customFormat="1" ht="39" customHeight="1" x14ac:dyDescent="0.25">
      <c r="A113" s="13">
        <v>46147</v>
      </c>
      <c r="B113" s="21" t="s">
        <v>1</v>
      </c>
      <c r="C113" s="11" t="s">
        <v>0</v>
      </c>
      <c r="D113" s="11">
        <v>28</v>
      </c>
      <c r="E113" s="10">
        <v>138</v>
      </c>
      <c r="F113" s="10">
        <v>39</v>
      </c>
      <c r="G113" s="10"/>
      <c r="H113" s="10">
        <v>20</v>
      </c>
      <c r="I113" s="10">
        <v>12</v>
      </c>
      <c r="J113" s="10">
        <v>35</v>
      </c>
      <c r="K113" s="6"/>
      <c r="L113" s="6"/>
      <c r="M113" s="6"/>
      <c r="N113" s="6"/>
      <c r="O113" s="6"/>
      <c r="P113" s="6"/>
      <c r="Q113" s="6"/>
      <c r="R113" s="6">
        <v>24</v>
      </c>
      <c r="S113" s="6"/>
      <c r="T113" s="6"/>
      <c r="U113" s="6"/>
      <c r="V113" s="6"/>
      <c r="W113" s="6"/>
      <c r="X113" s="6"/>
      <c r="Y113" s="6"/>
      <c r="Z113" s="6">
        <v>144</v>
      </c>
      <c r="AA113" s="6"/>
      <c r="AB113" s="6">
        <f>SUM(E113:AA113)</f>
        <v>412</v>
      </c>
      <c r="AC113" s="6">
        <v>43</v>
      </c>
      <c r="AD113" s="9">
        <f>SUM(AB113:AC113)</f>
        <v>455</v>
      </c>
      <c r="AE113" s="8">
        <f>AB113/AD113</f>
        <v>0.9054945054945055</v>
      </c>
      <c r="AF113" s="14">
        <v>494</v>
      </c>
      <c r="AG113" s="6">
        <v>4</v>
      </c>
      <c r="AH113" s="14">
        <v>18</v>
      </c>
      <c r="AI113" s="9">
        <f>AH113+AG113+AF113</f>
        <v>516</v>
      </c>
      <c r="AJ113" s="8">
        <f>(AG113+AH113)/AI113</f>
        <v>4.2635658914728682E-2</v>
      </c>
      <c r="AK113" s="6">
        <f>SUM(E113:W113)</f>
        <v>268</v>
      </c>
    </row>
    <row r="114" spans="1:37" s="7" customFormat="1" ht="39" customHeight="1" x14ac:dyDescent="0.25">
      <c r="A114" s="20">
        <v>46148</v>
      </c>
      <c r="B114" s="19" t="s">
        <v>1</v>
      </c>
      <c r="C114" s="25" t="s">
        <v>26</v>
      </c>
      <c r="D114" s="25">
        <v>1</v>
      </c>
      <c r="E114" s="24">
        <v>41</v>
      </c>
      <c r="F114" s="24">
        <v>32</v>
      </c>
      <c r="G114" s="24">
        <v>32</v>
      </c>
      <c r="H114" s="24"/>
      <c r="I114" s="24">
        <v>19</v>
      </c>
      <c r="J114" s="24"/>
      <c r="K114" s="15"/>
      <c r="L114" s="15"/>
      <c r="M114" s="15"/>
      <c r="N114" s="15"/>
      <c r="O114" s="15"/>
      <c r="P114" s="15"/>
      <c r="Q114" s="15"/>
      <c r="R114" s="15">
        <v>14</v>
      </c>
      <c r="S114" s="15"/>
      <c r="T114" s="15"/>
      <c r="U114" s="15"/>
      <c r="V114" s="15"/>
      <c r="W114" s="15"/>
      <c r="X114" s="15"/>
      <c r="Y114" s="15"/>
      <c r="Z114" s="15">
        <v>5</v>
      </c>
      <c r="AA114" s="15"/>
      <c r="AB114" s="15">
        <f>SUM(E114:AA114)</f>
        <v>143</v>
      </c>
      <c r="AC114" s="15">
        <v>551</v>
      </c>
      <c r="AD114" s="17">
        <f>SUM(AB114:AC114)</f>
        <v>694</v>
      </c>
      <c r="AE114" s="16">
        <f>AB114/AD114</f>
        <v>0.20605187319884727</v>
      </c>
      <c r="AF114" s="15">
        <v>938</v>
      </c>
      <c r="AG114" s="15">
        <v>0</v>
      </c>
      <c r="AH114" s="15">
        <v>13</v>
      </c>
      <c r="AI114" s="17">
        <f>AH114+AG114+AF114</f>
        <v>951</v>
      </c>
      <c r="AJ114" s="16">
        <f>(AG114+AH114)/AI114</f>
        <v>1.3669821240799159E-2</v>
      </c>
      <c r="AK114" s="15">
        <f>SUM(E114:W114)</f>
        <v>138</v>
      </c>
    </row>
    <row r="115" spans="1:37" s="7" customFormat="1" ht="39" customHeight="1" x14ac:dyDescent="0.25">
      <c r="A115" s="13">
        <v>46148</v>
      </c>
      <c r="B115" s="21" t="s">
        <v>1</v>
      </c>
      <c r="C115" s="11" t="s">
        <v>21</v>
      </c>
      <c r="D115" s="11">
        <v>2</v>
      </c>
      <c r="E115" s="10">
        <v>61</v>
      </c>
      <c r="F115" s="10">
        <v>47</v>
      </c>
      <c r="G115" s="10"/>
      <c r="H115" s="10">
        <v>12</v>
      </c>
      <c r="I115" s="10"/>
      <c r="J115" s="10">
        <v>8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>
        <v>17</v>
      </c>
      <c r="AA115" s="6"/>
      <c r="AB115" s="6">
        <f>SUM(E115:AA115)</f>
        <v>145</v>
      </c>
      <c r="AC115" s="6">
        <v>163</v>
      </c>
      <c r="AD115" s="9">
        <f>SUM(AB115:AC115)</f>
        <v>308</v>
      </c>
      <c r="AE115" s="8">
        <f>AB115/AD115</f>
        <v>0.4707792207792208</v>
      </c>
      <c r="AF115" s="6">
        <v>768</v>
      </c>
      <c r="AG115" s="6">
        <v>11</v>
      </c>
      <c r="AH115" s="6">
        <v>15</v>
      </c>
      <c r="AI115" s="9">
        <f>AH115+AG115+AF115</f>
        <v>794</v>
      </c>
      <c r="AJ115" s="8">
        <f>(AG115+AH115)/AI115</f>
        <v>3.2745591939546598E-2</v>
      </c>
      <c r="AK115" s="6">
        <f>SUM(E115:W115)</f>
        <v>128</v>
      </c>
    </row>
    <row r="116" spans="1:37" s="7" customFormat="1" ht="39" customHeight="1" x14ac:dyDescent="0.25">
      <c r="A116" s="13">
        <v>46148</v>
      </c>
      <c r="B116" s="21" t="s">
        <v>1</v>
      </c>
      <c r="C116" s="11" t="s">
        <v>9</v>
      </c>
      <c r="D116" s="11">
        <v>3</v>
      </c>
      <c r="E116" s="10"/>
      <c r="F116" s="10">
        <v>28</v>
      </c>
      <c r="G116" s="10">
        <v>26</v>
      </c>
      <c r="H116" s="10">
        <v>29</v>
      </c>
      <c r="I116" s="10"/>
      <c r="J116" s="10"/>
      <c r="K116" s="6"/>
      <c r="L116" s="6">
        <v>5</v>
      </c>
      <c r="M116" s="6"/>
      <c r="N116" s="6"/>
      <c r="O116" s="6"/>
      <c r="P116" s="6"/>
      <c r="Q116" s="6"/>
      <c r="R116" s="6"/>
      <c r="S116" s="6">
        <v>48</v>
      </c>
      <c r="T116" s="6"/>
      <c r="U116" s="6"/>
      <c r="V116" s="6"/>
      <c r="W116" s="6"/>
      <c r="X116" s="6"/>
      <c r="Y116" s="6"/>
      <c r="Z116" s="6">
        <v>34</v>
      </c>
      <c r="AA116" s="6"/>
      <c r="AB116" s="6">
        <f>SUM(E116:AA116)</f>
        <v>170</v>
      </c>
      <c r="AC116" s="6">
        <v>519</v>
      </c>
      <c r="AD116" s="9">
        <f>SUM(AB116:AC116)</f>
        <v>689</v>
      </c>
      <c r="AE116" s="8">
        <f>AB116/AD116</f>
        <v>0.2467343976777939</v>
      </c>
      <c r="AF116" s="6">
        <v>652</v>
      </c>
      <c r="AG116" s="6">
        <v>0</v>
      </c>
      <c r="AH116" s="14">
        <v>14</v>
      </c>
      <c r="AI116" s="9">
        <f>AH116+AG116+AF116</f>
        <v>666</v>
      </c>
      <c r="AJ116" s="8">
        <f>(AG116+AH116)/AI116</f>
        <v>2.1021021021021023E-2</v>
      </c>
      <c r="AK116" s="6">
        <f>SUM(E116:W116)</f>
        <v>136</v>
      </c>
    </row>
    <row r="117" spans="1:37" s="7" customFormat="1" ht="39" customHeight="1" x14ac:dyDescent="0.25">
      <c r="A117" s="13">
        <v>46148</v>
      </c>
      <c r="B117" s="21" t="s">
        <v>1</v>
      </c>
      <c r="C117" s="11" t="s">
        <v>16</v>
      </c>
      <c r="D117" s="11">
        <v>4</v>
      </c>
      <c r="E117" s="10">
        <v>77</v>
      </c>
      <c r="F117" s="10">
        <f>138+38</f>
        <v>176</v>
      </c>
      <c r="G117" s="10">
        <v>37</v>
      </c>
      <c r="H117" s="10">
        <v>71</v>
      </c>
      <c r="I117" s="10"/>
      <c r="J117" s="10"/>
      <c r="K117" s="6"/>
      <c r="L117" s="6"/>
      <c r="M117" s="6"/>
      <c r="N117" s="6"/>
      <c r="O117" s="6"/>
      <c r="P117" s="6"/>
      <c r="Q117" s="6"/>
      <c r="R117" s="6">
        <v>63</v>
      </c>
      <c r="S117" s="6"/>
      <c r="T117" s="6"/>
      <c r="U117" s="6"/>
      <c r="V117" s="6"/>
      <c r="W117" s="6"/>
      <c r="X117" s="6">
        <v>6</v>
      </c>
      <c r="Y117" s="6"/>
      <c r="Z117" s="6">
        <v>34</v>
      </c>
      <c r="AA117" s="6"/>
      <c r="AB117" s="6">
        <f>SUM(E117:AA117)</f>
        <v>464</v>
      </c>
      <c r="AC117" s="6">
        <v>766</v>
      </c>
      <c r="AD117" s="9">
        <f>SUM(AB117:AC117)</f>
        <v>1230</v>
      </c>
      <c r="AE117" s="8">
        <f>AB117/AD117</f>
        <v>0.3772357723577236</v>
      </c>
      <c r="AF117" s="6">
        <v>780</v>
      </c>
      <c r="AG117" s="6">
        <v>12</v>
      </c>
      <c r="AH117" s="6">
        <v>0</v>
      </c>
      <c r="AI117" s="9">
        <f>AH117+AG117+AF117</f>
        <v>792</v>
      </c>
      <c r="AJ117" s="8">
        <f>(AG117+AH117)/AI117</f>
        <v>1.5151515151515152E-2</v>
      </c>
      <c r="AK117" s="6">
        <f>SUM(E117:W117)</f>
        <v>424</v>
      </c>
    </row>
    <row r="118" spans="1:37" s="7" customFormat="1" ht="39" customHeight="1" x14ac:dyDescent="0.25">
      <c r="A118" s="13">
        <v>46148</v>
      </c>
      <c r="B118" s="12" t="s">
        <v>1</v>
      </c>
      <c r="C118" s="11" t="s">
        <v>16</v>
      </c>
      <c r="D118" s="21">
        <v>5</v>
      </c>
      <c r="E118" s="10">
        <v>92</v>
      </c>
      <c r="F118" s="10">
        <v>174</v>
      </c>
      <c r="G118" s="10">
        <v>15</v>
      </c>
      <c r="H118" s="10">
        <v>30</v>
      </c>
      <c r="I118" s="10"/>
      <c r="J118" s="10"/>
      <c r="K118" s="6"/>
      <c r="L118" s="6"/>
      <c r="M118" s="6"/>
      <c r="N118" s="6"/>
      <c r="O118" s="6"/>
      <c r="P118" s="6"/>
      <c r="Q118" s="6"/>
      <c r="R118" s="6">
        <v>50</v>
      </c>
      <c r="S118" s="6"/>
      <c r="T118" s="6"/>
      <c r="U118" s="6"/>
      <c r="V118" s="6"/>
      <c r="W118" s="6"/>
      <c r="X118" s="6"/>
      <c r="Y118" s="6"/>
      <c r="Z118" s="6">
        <v>23</v>
      </c>
      <c r="AA118" s="6"/>
      <c r="AB118" s="6">
        <f>SUM(E118:AA118)</f>
        <v>384</v>
      </c>
      <c r="AC118" s="6">
        <v>269</v>
      </c>
      <c r="AD118" s="9">
        <f>SUM(AB118:AC118)</f>
        <v>653</v>
      </c>
      <c r="AE118" s="8">
        <f>AB118/AD118</f>
        <v>0.58805513016845334</v>
      </c>
      <c r="AF118" s="14">
        <v>720</v>
      </c>
      <c r="AG118" s="6">
        <v>0</v>
      </c>
      <c r="AH118" s="14">
        <v>26</v>
      </c>
      <c r="AI118" s="9">
        <f>AH118+AG118+AF118</f>
        <v>746</v>
      </c>
      <c r="AJ118" s="8">
        <f>(AG118+AH118)/AI118</f>
        <v>3.4852546916890083E-2</v>
      </c>
      <c r="AK118" s="6">
        <f>SUM(E118:W118)</f>
        <v>361</v>
      </c>
    </row>
    <row r="119" spans="1:37" s="7" customFormat="1" ht="39" customHeight="1" x14ac:dyDescent="0.25">
      <c r="A119" s="13">
        <v>46148</v>
      </c>
      <c r="B119" s="21" t="s">
        <v>1</v>
      </c>
      <c r="C119" s="11" t="s">
        <v>16</v>
      </c>
      <c r="D119" s="11">
        <v>6</v>
      </c>
      <c r="E119" s="6">
        <v>33</v>
      </c>
      <c r="F119" s="10">
        <v>28</v>
      </c>
      <c r="G119" s="10"/>
      <c r="H119" s="10">
        <v>10</v>
      </c>
      <c r="I119" s="10"/>
      <c r="J119" s="10"/>
      <c r="K119" s="6"/>
      <c r="L119" s="6"/>
      <c r="M119" s="6"/>
      <c r="N119" s="6"/>
      <c r="O119" s="6"/>
      <c r="P119" s="6"/>
      <c r="Q119" s="6"/>
      <c r="R119" s="6">
        <v>16</v>
      </c>
      <c r="S119" s="6"/>
      <c r="T119" s="6"/>
      <c r="U119" s="6"/>
      <c r="V119" s="6"/>
      <c r="W119" s="6"/>
      <c r="X119" s="6"/>
      <c r="Y119" s="6"/>
      <c r="Z119" s="6">
        <v>13</v>
      </c>
      <c r="AA119" s="6"/>
      <c r="AB119" s="6">
        <f>SUM(E119:AA119)</f>
        <v>100</v>
      </c>
      <c r="AC119" s="6">
        <v>500</v>
      </c>
      <c r="AD119" s="9">
        <f>SUM(AB119:AC119)</f>
        <v>600</v>
      </c>
      <c r="AE119" s="8">
        <f>AB119/AD119</f>
        <v>0.16666666666666666</v>
      </c>
      <c r="AF119" s="14">
        <v>854</v>
      </c>
      <c r="AG119" s="6">
        <v>0</v>
      </c>
      <c r="AH119" s="14">
        <v>16</v>
      </c>
      <c r="AI119" s="9">
        <f>AH119+AG119+AF119</f>
        <v>870</v>
      </c>
      <c r="AJ119" s="8">
        <f>(AG119+AH119)/AI119</f>
        <v>1.8390804597701149E-2</v>
      </c>
      <c r="AK119" s="6">
        <f>SUM(E119:W119)</f>
        <v>87</v>
      </c>
    </row>
    <row r="120" spans="1:37" s="7" customFormat="1" ht="39" customHeight="1" x14ac:dyDescent="0.25">
      <c r="A120" s="13">
        <v>46148</v>
      </c>
      <c r="B120" s="12" t="s">
        <v>1</v>
      </c>
      <c r="C120" s="11" t="s">
        <v>14</v>
      </c>
      <c r="D120" s="11">
        <v>7</v>
      </c>
      <c r="E120" s="6">
        <v>48</v>
      </c>
      <c r="F120" s="10">
        <v>30</v>
      </c>
      <c r="G120" s="10">
        <v>20</v>
      </c>
      <c r="H120" s="10">
        <v>10</v>
      </c>
      <c r="I120" s="10"/>
      <c r="J120" s="10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>
        <v>20</v>
      </c>
      <c r="Y120" s="6"/>
      <c r="Z120" s="6">
        <v>30</v>
      </c>
      <c r="AA120" s="6"/>
      <c r="AB120" s="6">
        <f>SUM(E120:AA120)</f>
        <v>158</v>
      </c>
      <c r="AC120" s="6">
        <v>685</v>
      </c>
      <c r="AD120" s="9">
        <f>SUM(AB120:AC120)</f>
        <v>843</v>
      </c>
      <c r="AE120" s="8">
        <f>AB120/AD120</f>
        <v>0.1874258600237248</v>
      </c>
      <c r="AF120" s="14">
        <v>973</v>
      </c>
      <c r="AG120" s="6">
        <v>13</v>
      </c>
      <c r="AH120" s="14">
        <v>15</v>
      </c>
      <c r="AI120" s="9">
        <f>AH120+AG120+AF120</f>
        <v>1001</v>
      </c>
      <c r="AJ120" s="8">
        <f>(AG120+AH120)/AI120</f>
        <v>2.7972027972027972E-2</v>
      </c>
      <c r="AK120" s="6">
        <f>SUM(E120:W120)</f>
        <v>108</v>
      </c>
    </row>
    <row r="121" spans="1:37" s="7" customFormat="1" ht="39" customHeight="1" x14ac:dyDescent="0.25">
      <c r="A121" s="13">
        <v>46148</v>
      </c>
      <c r="B121" s="12" t="s">
        <v>1</v>
      </c>
      <c r="C121" s="11" t="s">
        <v>13</v>
      </c>
      <c r="D121" s="11">
        <v>8</v>
      </c>
      <c r="E121" s="6">
        <v>56</v>
      </c>
      <c r="F121" s="10">
        <v>23</v>
      </c>
      <c r="G121" s="10">
        <v>9</v>
      </c>
      <c r="H121" s="10">
        <v>13</v>
      </c>
      <c r="I121" s="10"/>
      <c r="J121" s="10">
        <v>10</v>
      </c>
      <c r="K121" s="6"/>
      <c r="L121" s="6"/>
      <c r="M121" s="6"/>
      <c r="N121" s="6"/>
      <c r="O121" s="6"/>
      <c r="P121" s="6"/>
      <c r="Q121" s="6"/>
      <c r="R121" s="6">
        <v>23</v>
      </c>
      <c r="S121" s="6"/>
      <c r="T121" s="6"/>
      <c r="U121" s="6"/>
      <c r="V121" s="6"/>
      <c r="W121" s="6"/>
      <c r="X121" s="6"/>
      <c r="Y121" s="6"/>
      <c r="Z121" s="6">
        <v>29</v>
      </c>
      <c r="AA121" s="6"/>
      <c r="AB121" s="6">
        <f>SUM(E121:AA121)</f>
        <v>163</v>
      </c>
      <c r="AC121" s="6">
        <v>456</v>
      </c>
      <c r="AD121" s="9">
        <f>SUM(AB121:AC121)</f>
        <v>619</v>
      </c>
      <c r="AE121" s="8">
        <f>AB121/AD121</f>
        <v>0.2633279483037157</v>
      </c>
      <c r="AF121" s="14">
        <v>982</v>
      </c>
      <c r="AG121" s="6">
        <v>0</v>
      </c>
      <c r="AH121" s="14">
        <v>27</v>
      </c>
      <c r="AI121" s="9">
        <f>AH121+AG121+AF121</f>
        <v>1009</v>
      </c>
      <c r="AJ121" s="8">
        <f>(AG121+AH121)/AI121</f>
        <v>2.6759167492566897E-2</v>
      </c>
      <c r="AK121" s="6">
        <f>SUM(E121:W121)</f>
        <v>134</v>
      </c>
    </row>
    <row r="122" spans="1:37" s="7" customFormat="1" ht="39" customHeight="1" x14ac:dyDescent="0.25">
      <c r="A122" s="13">
        <v>46148</v>
      </c>
      <c r="B122" s="21" t="s">
        <v>1</v>
      </c>
      <c r="C122" s="11" t="s">
        <v>12</v>
      </c>
      <c r="D122" s="11">
        <v>9</v>
      </c>
      <c r="E122" s="10">
        <v>65</v>
      </c>
      <c r="F122" s="10">
        <v>121</v>
      </c>
      <c r="G122" s="10">
        <v>199</v>
      </c>
      <c r="H122" s="10"/>
      <c r="I122" s="10"/>
      <c r="J122" s="10"/>
      <c r="K122" s="6">
        <v>45</v>
      </c>
      <c r="L122" s="6">
        <v>130</v>
      </c>
      <c r="M122" s="6"/>
      <c r="N122" s="6"/>
      <c r="O122" s="6"/>
      <c r="P122" s="6"/>
      <c r="Q122" s="6"/>
      <c r="R122" s="6">
        <v>143</v>
      </c>
      <c r="S122" s="6"/>
      <c r="T122" s="6"/>
      <c r="U122" s="6"/>
      <c r="V122" s="6"/>
      <c r="W122" s="6"/>
      <c r="X122" s="6"/>
      <c r="Y122" s="6"/>
      <c r="Z122" s="6">
        <v>70</v>
      </c>
      <c r="AA122" s="6"/>
      <c r="AB122" s="6">
        <f>SUM(E122:AA122)</f>
        <v>773</v>
      </c>
      <c r="AC122" s="6">
        <v>952</v>
      </c>
      <c r="AD122" s="9">
        <f>SUM(AB122:AC122)</f>
        <v>1725</v>
      </c>
      <c r="AE122" s="8">
        <f>AB122/AD122</f>
        <v>0.44811594202898553</v>
      </c>
      <c r="AF122" s="6"/>
      <c r="AG122" s="6"/>
      <c r="AH122" s="6"/>
      <c r="AI122" s="9"/>
      <c r="AJ122" s="8"/>
      <c r="AK122" s="6">
        <f>SUM(E122:W122)</f>
        <v>703</v>
      </c>
    </row>
    <row r="123" spans="1:37" s="7" customFormat="1" ht="39" customHeight="1" x14ac:dyDescent="0.25">
      <c r="A123" s="13">
        <v>46148</v>
      </c>
      <c r="B123" s="12" t="s">
        <v>1</v>
      </c>
      <c r="C123" s="11" t="s">
        <v>0</v>
      </c>
      <c r="D123" s="11">
        <v>10</v>
      </c>
      <c r="E123" s="10">
        <v>63</v>
      </c>
      <c r="F123" s="10">
        <v>52</v>
      </c>
      <c r="G123" s="10">
        <v>28</v>
      </c>
      <c r="H123" s="10">
        <v>13</v>
      </c>
      <c r="I123" s="10"/>
      <c r="J123" s="10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>
        <v>26</v>
      </c>
      <c r="W123" s="6">
        <v>17</v>
      </c>
      <c r="X123" s="6"/>
      <c r="Y123" s="6"/>
      <c r="Z123" s="6">
        <v>25</v>
      </c>
      <c r="AA123" s="6"/>
      <c r="AB123" s="6">
        <f>SUM(E123:AA123)</f>
        <v>224</v>
      </c>
      <c r="AC123" s="6">
        <v>262</v>
      </c>
      <c r="AD123" s="9">
        <f>SUM(AB123:AC123)</f>
        <v>486</v>
      </c>
      <c r="AE123" s="8">
        <f>AB123/AD123</f>
        <v>0.46090534979423869</v>
      </c>
      <c r="AF123" s="14">
        <v>581</v>
      </c>
      <c r="AG123" s="6">
        <v>17</v>
      </c>
      <c r="AH123" s="14">
        <v>9</v>
      </c>
      <c r="AI123" s="9">
        <f>AH123+AG123+AF123</f>
        <v>607</v>
      </c>
      <c r="AJ123" s="8">
        <f>(AG123+AH123)/AI123</f>
        <v>4.2833607907743002E-2</v>
      </c>
      <c r="AK123" s="6">
        <f>SUM(E123:W123)</f>
        <v>199</v>
      </c>
    </row>
    <row r="124" spans="1:37" s="7" customFormat="1" ht="39" customHeight="1" x14ac:dyDescent="0.25">
      <c r="A124" s="13">
        <v>46148</v>
      </c>
      <c r="B124" s="12" t="s">
        <v>1</v>
      </c>
      <c r="C124" s="11" t="s">
        <v>10</v>
      </c>
      <c r="D124" s="11">
        <v>11</v>
      </c>
      <c r="E124" s="6">
        <v>137</v>
      </c>
      <c r="F124" s="10">
        <v>158</v>
      </c>
      <c r="G124" s="10">
        <v>13</v>
      </c>
      <c r="H124" s="10">
        <v>74</v>
      </c>
      <c r="I124" s="10"/>
      <c r="J124" s="10"/>
      <c r="K124" s="6"/>
      <c r="L124" s="6"/>
      <c r="M124" s="6"/>
      <c r="N124" s="6"/>
      <c r="O124" s="6"/>
      <c r="P124" s="6"/>
      <c r="Q124" s="6"/>
      <c r="R124" s="6">
        <v>91</v>
      </c>
      <c r="S124" s="6"/>
      <c r="T124" s="6"/>
      <c r="U124" s="6"/>
      <c r="V124" s="6"/>
      <c r="W124" s="6"/>
      <c r="X124" s="6"/>
      <c r="Y124" s="6"/>
      <c r="Z124" s="6">
        <v>188</v>
      </c>
      <c r="AA124" s="6"/>
      <c r="AB124" s="6">
        <f>SUM(E124:AA124)</f>
        <v>661</v>
      </c>
      <c r="AC124" s="6">
        <v>131</v>
      </c>
      <c r="AD124" s="9">
        <f>SUM(AB124:AC124)</f>
        <v>792</v>
      </c>
      <c r="AE124" s="8">
        <f>AB124/AD124</f>
        <v>0.83459595959595956</v>
      </c>
      <c r="AF124" s="6">
        <v>485</v>
      </c>
      <c r="AG124" s="6">
        <v>0</v>
      </c>
      <c r="AH124" s="6">
        <v>10</v>
      </c>
      <c r="AI124" s="9">
        <f>AH124+AG124+AF124</f>
        <v>495</v>
      </c>
      <c r="AJ124" s="8">
        <f>(AG124+AH124)/AI124</f>
        <v>2.0202020202020204E-2</v>
      </c>
      <c r="AK124" s="6">
        <f>SUM(E124:W124)</f>
        <v>473</v>
      </c>
    </row>
    <row r="125" spans="1:37" s="7" customFormat="1" ht="39" customHeight="1" x14ac:dyDescent="0.25">
      <c r="A125" s="13">
        <v>46148</v>
      </c>
      <c r="B125" s="21" t="s">
        <v>1</v>
      </c>
      <c r="C125" s="11" t="s">
        <v>18</v>
      </c>
      <c r="D125" s="11">
        <v>13</v>
      </c>
      <c r="E125" s="10">
        <v>96</v>
      </c>
      <c r="F125" s="10">
        <v>130</v>
      </c>
      <c r="G125" s="10">
        <v>58</v>
      </c>
      <c r="H125" s="10">
        <v>20</v>
      </c>
      <c r="I125" s="10"/>
      <c r="J125" s="10">
        <v>10</v>
      </c>
      <c r="K125" s="6"/>
      <c r="L125" s="6">
        <v>7</v>
      </c>
      <c r="M125" s="6"/>
      <c r="N125" s="6"/>
      <c r="O125" s="6"/>
      <c r="P125" s="6"/>
      <c r="Q125" s="6"/>
      <c r="R125" s="6">
        <v>51</v>
      </c>
      <c r="S125" s="6"/>
      <c r="T125" s="6"/>
      <c r="U125" s="6"/>
      <c r="V125" s="6"/>
      <c r="W125" s="6"/>
      <c r="X125" s="6"/>
      <c r="Y125" s="6"/>
      <c r="Z125" s="6">
        <v>24</v>
      </c>
      <c r="AA125" s="6"/>
      <c r="AB125" s="6">
        <f>SUM(E125:AA125)</f>
        <v>396</v>
      </c>
      <c r="AC125" s="6">
        <v>276</v>
      </c>
      <c r="AD125" s="9">
        <f>SUM(AB125:AC125)</f>
        <v>672</v>
      </c>
      <c r="AE125" s="8">
        <f>AB125/AD125</f>
        <v>0.5892857142857143</v>
      </c>
      <c r="AF125" s="14">
        <v>836</v>
      </c>
      <c r="AG125" s="6">
        <v>0</v>
      </c>
      <c r="AH125" s="14">
        <v>21</v>
      </c>
      <c r="AI125" s="9">
        <f>AH125+AG125+AF125</f>
        <v>857</v>
      </c>
      <c r="AJ125" s="8">
        <f>(AG125+AH125)/AI125</f>
        <v>2.4504084014002333E-2</v>
      </c>
      <c r="AK125" s="6">
        <f>SUM(E125:W125)</f>
        <v>372</v>
      </c>
    </row>
    <row r="126" spans="1:37" s="7" customFormat="1" ht="39" customHeight="1" x14ac:dyDescent="0.25">
      <c r="A126" s="13">
        <v>46148</v>
      </c>
      <c r="B126" s="21" t="s">
        <v>1</v>
      </c>
      <c r="C126" s="11" t="s">
        <v>8</v>
      </c>
      <c r="D126" s="11">
        <v>14</v>
      </c>
      <c r="E126" s="10">
        <v>36</v>
      </c>
      <c r="F126" s="10">
        <v>50</v>
      </c>
      <c r="G126" s="10">
        <v>40</v>
      </c>
      <c r="H126" s="10">
        <v>25</v>
      </c>
      <c r="I126" s="10"/>
      <c r="J126" s="10"/>
      <c r="K126" s="6"/>
      <c r="L126" s="6">
        <v>12</v>
      </c>
      <c r="M126" s="6"/>
      <c r="N126" s="6"/>
      <c r="O126" s="6"/>
      <c r="P126" s="6"/>
      <c r="Q126" s="6"/>
      <c r="R126" s="6">
        <v>49</v>
      </c>
      <c r="S126" s="6"/>
      <c r="T126" s="6">
        <v>5</v>
      </c>
      <c r="U126" s="6"/>
      <c r="V126" s="6">
        <v>28</v>
      </c>
      <c r="W126" s="6"/>
      <c r="X126" s="6"/>
      <c r="Y126" s="6"/>
      <c r="Z126" s="6">
        <v>9</v>
      </c>
      <c r="AA126" s="6"/>
      <c r="AB126" s="6">
        <f>SUM(E126:AA126)</f>
        <v>254</v>
      </c>
      <c r="AC126" s="6">
        <v>452</v>
      </c>
      <c r="AD126" s="9">
        <f>SUM(AB126:AC126)</f>
        <v>706</v>
      </c>
      <c r="AE126" s="8">
        <f>AB126/AD126</f>
        <v>0.35977337110481589</v>
      </c>
      <c r="AF126" s="6">
        <v>656</v>
      </c>
      <c r="AG126" s="6">
        <v>0</v>
      </c>
      <c r="AH126" s="6">
        <v>24</v>
      </c>
      <c r="AI126" s="9">
        <f>AH126+AG126+AF126</f>
        <v>680</v>
      </c>
      <c r="AJ126" s="8">
        <f>(AG126+AH126)/AI126</f>
        <v>3.5294117647058823E-2</v>
      </c>
      <c r="AK126" s="6">
        <f>SUM(E126:W126)</f>
        <v>245</v>
      </c>
    </row>
    <row r="127" spans="1:37" s="7" customFormat="1" ht="39" customHeight="1" x14ac:dyDescent="0.25">
      <c r="A127" s="13">
        <v>46148</v>
      </c>
      <c r="B127" s="12" t="s">
        <v>1</v>
      </c>
      <c r="C127" s="11" t="s">
        <v>7</v>
      </c>
      <c r="D127" s="11">
        <v>15</v>
      </c>
      <c r="E127" s="10">
        <v>36</v>
      </c>
      <c r="F127" s="10">
        <v>37</v>
      </c>
      <c r="G127" s="10">
        <v>29</v>
      </c>
      <c r="H127" s="10">
        <v>39</v>
      </c>
      <c r="I127" s="10">
        <v>25</v>
      </c>
      <c r="J127" s="10">
        <v>9</v>
      </c>
      <c r="K127" s="6"/>
      <c r="L127" s="6"/>
      <c r="M127" s="6"/>
      <c r="N127" s="6">
        <v>3</v>
      </c>
      <c r="O127" s="6"/>
      <c r="P127" s="6"/>
      <c r="Q127" s="6"/>
      <c r="R127" s="6">
        <f>12+4</f>
        <v>16</v>
      </c>
      <c r="S127" s="6"/>
      <c r="T127" s="6"/>
      <c r="U127" s="6"/>
      <c r="V127" s="6">
        <v>20</v>
      </c>
      <c r="W127" s="6"/>
      <c r="X127" s="6"/>
      <c r="Y127" s="6"/>
      <c r="Z127" s="6">
        <v>37</v>
      </c>
      <c r="AA127" s="6"/>
      <c r="AB127" s="6">
        <f>SUM(E127:AA127)</f>
        <v>251</v>
      </c>
      <c r="AC127" s="6">
        <v>159</v>
      </c>
      <c r="AD127" s="9">
        <f>SUM(AB127:AC127)</f>
        <v>410</v>
      </c>
      <c r="AE127" s="8">
        <f>AB127/AD127</f>
        <v>0.6121951219512195</v>
      </c>
      <c r="AF127" s="6">
        <v>330</v>
      </c>
      <c r="AG127" s="6">
        <v>0</v>
      </c>
      <c r="AH127" s="6">
        <v>22</v>
      </c>
      <c r="AI127" s="9">
        <f>AH127+AG127+AF127</f>
        <v>352</v>
      </c>
      <c r="AJ127" s="8">
        <f>(AG127+AH127)/AI127</f>
        <v>6.25E-2</v>
      </c>
      <c r="AK127" s="6">
        <f>SUM(E127:W127)</f>
        <v>214</v>
      </c>
    </row>
    <row r="128" spans="1:37" s="7" customFormat="1" ht="39" customHeight="1" x14ac:dyDescent="0.25">
      <c r="A128" s="13">
        <v>46148</v>
      </c>
      <c r="B128" s="21" t="s">
        <v>1</v>
      </c>
      <c r="C128" s="11" t="s">
        <v>10</v>
      </c>
      <c r="D128" s="11">
        <v>16</v>
      </c>
      <c r="E128" s="10">
        <v>135</v>
      </c>
      <c r="F128" s="10">
        <v>347</v>
      </c>
      <c r="G128" s="10">
        <v>190</v>
      </c>
      <c r="H128" s="10">
        <v>145</v>
      </c>
      <c r="I128" s="10"/>
      <c r="J128" s="10">
        <v>40</v>
      </c>
      <c r="K128" s="6"/>
      <c r="L128" s="6"/>
      <c r="M128" s="6"/>
      <c r="N128" s="6"/>
      <c r="O128" s="6"/>
      <c r="P128" s="6"/>
      <c r="Q128" s="6"/>
      <c r="R128" s="6">
        <v>186</v>
      </c>
      <c r="S128" s="6"/>
      <c r="T128" s="6"/>
      <c r="U128" s="6"/>
      <c r="V128" s="6"/>
      <c r="W128" s="6"/>
      <c r="X128" s="6"/>
      <c r="Y128" s="6"/>
      <c r="Z128" s="6">
        <v>55</v>
      </c>
      <c r="AA128" s="6"/>
      <c r="AB128" s="6">
        <f>SUM(E128:AA128)</f>
        <v>1098</v>
      </c>
      <c r="AC128" s="6">
        <v>379</v>
      </c>
      <c r="AD128" s="9">
        <f>SUM(AB128:AC128)</f>
        <v>1477</v>
      </c>
      <c r="AE128" s="8">
        <f>AB128/AD128</f>
        <v>0.74339878131347326</v>
      </c>
      <c r="AF128" s="6">
        <v>266</v>
      </c>
      <c r="AG128" s="6">
        <v>0</v>
      </c>
      <c r="AH128" s="6">
        <v>34</v>
      </c>
      <c r="AI128" s="9">
        <f>AH128+AG128+AF128</f>
        <v>300</v>
      </c>
      <c r="AJ128" s="8">
        <f>(AG128+AH128)/AI128</f>
        <v>0.11333333333333333</v>
      </c>
      <c r="AK128" s="6">
        <f>SUM(E128:W128)</f>
        <v>1043</v>
      </c>
    </row>
    <row r="129" spans="1:37" s="7" customFormat="1" ht="39" customHeight="1" x14ac:dyDescent="0.25">
      <c r="A129" s="13">
        <v>46148</v>
      </c>
      <c r="B129" s="21" t="s">
        <v>1</v>
      </c>
      <c r="C129" s="11" t="s">
        <v>12</v>
      </c>
      <c r="D129" s="11">
        <v>17</v>
      </c>
      <c r="E129" s="10">
        <v>27</v>
      </c>
      <c r="F129" s="10">
        <v>31</v>
      </c>
      <c r="G129" s="10">
        <v>113</v>
      </c>
      <c r="H129" s="10">
        <v>6</v>
      </c>
      <c r="I129" s="10"/>
      <c r="J129" s="10">
        <v>74</v>
      </c>
      <c r="K129" s="6"/>
      <c r="L129" s="6"/>
      <c r="M129" s="6"/>
      <c r="N129" s="6"/>
      <c r="O129" s="6"/>
      <c r="P129" s="6"/>
      <c r="Q129" s="6"/>
      <c r="R129" s="6">
        <v>104</v>
      </c>
      <c r="S129" s="6"/>
      <c r="T129" s="6"/>
      <c r="U129" s="6"/>
      <c r="V129" s="6"/>
      <c r="W129" s="6"/>
      <c r="X129" s="6"/>
      <c r="Y129" s="6"/>
      <c r="Z129" s="6">
        <v>68</v>
      </c>
      <c r="AA129" s="6"/>
      <c r="AB129" s="6">
        <f>SUM(E129:AA129)</f>
        <v>423</v>
      </c>
      <c r="AC129" s="6">
        <v>437</v>
      </c>
      <c r="AD129" s="9">
        <f>SUM(AB129:AC129)</f>
        <v>860</v>
      </c>
      <c r="AE129" s="8">
        <f>AB129/AD129</f>
        <v>0.49186046511627907</v>
      </c>
      <c r="AF129" s="14">
        <v>598</v>
      </c>
      <c r="AG129" s="6">
        <v>0</v>
      </c>
      <c r="AH129" s="14">
        <v>38</v>
      </c>
      <c r="AI129" s="9">
        <f>AH129+AG129+AF129</f>
        <v>636</v>
      </c>
      <c r="AJ129" s="8">
        <f>(AG129+AH129)/AI129</f>
        <v>5.9748427672955975E-2</v>
      </c>
      <c r="AK129" s="6">
        <f>SUM(E129:W129)</f>
        <v>355</v>
      </c>
    </row>
    <row r="130" spans="1:37" s="7" customFormat="1" ht="39" customHeight="1" x14ac:dyDescent="0.25">
      <c r="A130" s="13">
        <v>46148</v>
      </c>
      <c r="B130" s="21" t="s">
        <v>1</v>
      </c>
      <c r="C130" s="21" t="s">
        <v>6</v>
      </c>
      <c r="D130" s="21">
        <v>18</v>
      </c>
      <c r="E130" s="10">
        <v>40</v>
      </c>
      <c r="F130" s="10">
        <v>20</v>
      </c>
      <c r="G130" s="10"/>
      <c r="H130" s="10"/>
      <c r="I130" s="10"/>
      <c r="J130" s="10"/>
      <c r="K130" s="6"/>
      <c r="L130" s="6"/>
      <c r="M130" s="6"/>
      <c r="N130" s="6">
        <v>35</v>
      </c>
      <c r="O130" s="6"/>
      <c r="P130" s="6">
        <v>10</v>
      </c>
      <c r="Q130" s="6"/>
      <c r="R130" s="6">
        <v>25</v>
      </c>
      <c r="S130" s="6"/>
      <c r="T130" s="6"/>
      <c r="U130" s="6"/>
      <c r="V130" s="6"/>
      <c r="W130" s="6"/>
      <c r="X130" s="6"/>
      <c r="Y130" s="6"/>
      <c r="Z130" s="6">
        <v>30</v>
      </c>
      <c r="AA130" s="6"/>
      <c r="AB130" s="6">
        <f>SUM(E130:AA130)</f>
        <v>160</v>
      </c>
      <c r="AC130" s="6">
        <v>612</v>
      </c>
      <c r="AD130" s="9">
        <f>SUM(AB130:AC130)</f>
        <v>772</v>
      </c>
      <c r="AE130" s="8">
        <f>AB130/AD130</f>
        <v>0.20725388601036268</v>
      </c>
      <c r="AF130" s="6">
        <v>110</v>
      </c>
      <c r="AG130" s="6">
        <v>0</v>
      </c>
      <c r="AH130" s="6">
        <v>12</v>
      </c>
      <c r="AI130" s="9">
        <f>AH130+AG130+AF130</f>
        <v>122</v>
      </c>
      <c r="AJ130" s="8">
        <f>(AG130+AH130)/AI130</f>
        <v>9.8360655737704916E-2</v>
      </c>
      <c r="AK130" s="6">
        <f>SUM(E130:W130)</f>
        <v>130</v>
      </c>
    </row>
    <row r="131" spans="1:37" s="7" customFormat="1" ht="39" customHeight="1" x14ac:dyDescent="0.25">
      <c r="A131" s="13">
        <v>46148</v>
      </c>
      <c r="B131" s="21" t="s">
        <v>1</v>
      </c>
      <c r="C131" s="11" t="s">
        <v>2</v>
      </c>
      <c r="D131" s="11">
        <v>19</v>
      </c>
      <c r="E131" s="6">
        <v>10</v>
      </c>
      <c r="F131" s="10">
        <v>14</v>
      </c>
      <c r="G131" s="10">
        <v>5</v>
      </c>
      <c r="H131" s="10">
        <v>4</v>
      </c>
      <c r="I131" s="10"/>
      <c r="J131" s="10"/>
      <c r="K131" s="6"/>
      <c r="L131" s="6"/>
      <c r="M131" s="6"/>
      <c r="N131" s="6"/>
      <c r="O131" s="6"/>
      <c r="P131" s="6"/>
      <c r="Q131" s="6"/>
      <c r="R131" s="6">
        <v>12</v>
      </c>
      <c r="S131" s="6"/>
      <c r="T131" s="6"/>
      <c r="U131" s="6"/>
      <c r="V131" s="6"/>
      <c r="W131" s="6"/>
      <c r="X131" s="6"/>
      <c r="Y131" s="6"/>
      <c r="Z131" s="6">
        <v>9</v>
      </c>
      <c r="AA131" s="6"/>
      <c r="AB131" s="6">
        <f>SUM(E131:AA131)</f>
        <v>54</v>
      </c>
      <c r="AC131" s="6">
        <v>127</v>
      </c>
      <c r="AD131" s="9">
        <f>SUM(AB131:AC131)</f>
        <v>181</v>
      </c>
      <c r="AE131" s="8">
        <f>AB131/AD131</f>
        <v>0.2983425414364641</v>
      </c>
      <c r="AF131" s="6">
        <v>560</v>
      </c>
      <c r="AG131" s="6">
        <v>0</v>
      </c>
      <c r="AH131" s="6">
        <v>11</v>
      </c>
      <c r="AI131" s="9">
        <f>AH131+AG131+AF131</f>
        <v>571</v>
      </c>
      <c r="AJ131" s="8">
        <f>(AG131+AH131)/AI131</f>
        <v>1.9264448336252189E-2</v>
      </c>
      <c r="AK131" s="6">
        <f>SUM(E131:W131)</f>
        <v>45</v>
      </c>
    </row>
    <row r="132" spans="1:37" s="7" customFormat="1" ht="39" customHeight="1" x14ac:dyDescent="0.25">
      <c r="A132" s="13">
        <v>46148</v>
      </c>
      <c r="B132" s="21" t="s">
        <v>1</v>
      </c>
      <c r="C132" s="11" t="s">
        <v>9</v>
      </c>
      <c r="D132" s="11">
        <v>20</v>
      </c>
      <c r="E132" s="10">
        <v>19</v>
      </c>
      <c r="F132" s="10">
        <v>34</v>
      </c>
      <c r="G132" s="10"/>
      <c r="H132" s="10">
        <v>67</v>
      </c>
      <c r="I132" s="10">
        <v>83</v>
      </c>
      <c r="J132" s="10"/>
      <c r="K132" s="6"/>
      <c r="L132" s="6"/>
      <c r="M132" s="6"/>
      <c r="N132" s="6">
        <v>39</v>
      </c>
      <c r="O132" s="6"/>
      <c r="P132" s="6"/>
      <c r="Q132" s="6"/>
      <c r="R132" s="6">
        <v>21</v>
      </c>
      <c r="S132" s="6"/>
      <c r="T132" s="6"/>
      <c r="U132" s="6"/>
      <c r="V132" s="6"/>
      <c r="W132" s="6"/>
      <c r="X132" s="6"/>
      <c r="Y132" s="6"/>
      <c r="Z132" s="6">
        <f>18+12+21</f>
        <v>51</v>
      </c>
      <c r="AA132" s="6"/>
      <c r="AB132" s="6">
        <f>SUM(E132:AA132)</f>
        <v>314</v>
      </c>
      <c r="AC132" s="6">
        <v>352</v>
      </c>
      <c r="AD132" s="9">
        <f>SUM(AB132:AC132)</f>
        <v>666</v>
      </c>
      <c r="AE132" s="8">
        <f>AB132/AD132</f>
        <v>0.47147147147147145</v>
      </c>
      <c r="AF132" s="6">
        <v>380</v>
      </c>
      <c r="AG132" s="6">
        <v>0</v>
      </c>
      <c r="AH132" s="6">
        <v>15</v>
      </c>
      <c r="AI132" s="9">
        <f>AH132+AG132+AF132</f>
        <v>395</v>
      </c>
      <c r="AJ132" s="8">
        <f>(AG132+AH132)/AI132</f>
        <v>3.7974683544303799E-2</v>
      </c>
      <c r="AK132" s="6">
        <f>SUM(E132:W132)</f>
        <v>263</v>
      </c>
    </row>
    <row r="133" spans="1:37" s="7" customFormat="1" ht="39" customHeight="1" x14ac:dyDescent="0.25">
      <c r="A133" s="13">
        <v>46148</v>
      </c>
      <c r="B133" s="21" t="s">
        <v>1</v>
      </c>
      <c r="C133" s="11" t="s">
        <v>19</v>
      </c>
      <c r="D133" s="11">
        <v>21</v>
      </c>
      <c r="E133" s="10">
        <v>45</v>
      </c>
      <c r="F133" s="10">
        <v>41</v>
      </c>
      <c r="G133" s="10">
        <v>20</v>
      </c>
      <c r="H133" s="10">
        <v>65</v>
      </c>
      <c r="I133" s="10"/>
      <c r="J133" s="10">
        <v>9</v>
      </c>
      <c r="K133" s="6">
        <v>25</v>
      </c>
      <c r="L133" s="6"/>
      <c r="M133" s="6">
        <v>25</v>
      </c>
      <c r="N133" s="6"/>
      <c r="O133" s="6"/>
      <c r="P133" s="6"/>
      <c r="Q133" s="6"/>
      <c r="R133" s="6">
        <v>80</v>
      </c>
      <c r="S133" s="6"/>
      <c r="T133" s="6"/>
      <c r="U133" s="6"/>
      <c r="V133" s="6"/>
      <c r="W133" s="6"/>
      <c r="X133" s="6"/>
      <c r="Y133" s="6"/>
      <c r="Z133" s="6">
        <v>35</v>
      </c>
      <c r="AA133" s="6"/>
      <c r="AB133" s="6">
        <f>SUM(E133:AA133)</f>
        <v>345</v>
      </c>
      <c r="AC133" s="6">
        <v>402</v>
      </c>
      <c r="AD133" s="9">
        <f>SUM(AB133:AC133)</f>
        <v>747</v>
      </c>
      <c r="AE133" s="8">
        <f>AB133/AD133</f>
        <v>0.46184738955823296</v>
      </c>
      <c r="AF133" s="14">
        <v>885</v>
      </c>
      <c r="AG133" s="6">
        <v>0</v>
      </c>
      <c r="AH133" s="14">
        <v>27</v>
      </c>
      <c r="AI133" s="9">
        <f>AH133+AG133+AF133</f>
        <v>912</v>
      </c>
      <c r="AJ133" s="8">
        <f>(AG133+AH133)/AI133</f>
        <v>2.9605263157894735E-2</v>
      </c>
      <c r="AK133" s="6">
        <f>SUM(E133:W133)</f>
        <v>310</v>
      </c>
    </row>
    <row r="134" spans="1:37" s="7" customFormat="1" ht="39" customHeight="1" x14ac:dyDescent="0.25">
      <c r="A134" s="13">
        <v>46148</v>
      </c>
      <c r="B134" s="21" t="s">
        <v>1</v>
      </c>
      <c r="C134" s="11" t="s">
        <v>8</v>
      </c>
      <c r="D134" s="11">
        <v>22</v>
      </c>
      <c r="E134" s="10">
        <v>38</v>
      </c>
      <c r="F134" s="10">
        <v>19</v>
      </c>
      <c r="G134" s="10">
        <v>14</v>
      </c>
      <c r="H134" s="10">
        <v>37</v>
      </c>
      <c r="I134" s="10">
        <v>8</v>
      </c>
      <c r="J134" s="10">
        <v>18</v>
      </c>
      <c r="K134" s="6"/>
      <c r="L134" s="6">
        <v>8</v>
      </c>
      <c r="M134" s="6"/>
      <c r="N134" s="6"/>
      <c r="O134" s="6"/>
      <c r="P134" s="6"/>
      <c r="Q134" s="6"/>
      <c r="R134" s="6">
        <v>26</v>
      </c>
      <c r="S134" s="6"/>
      <c r="T134" s="6"/>
      <c r="U134" s="6"/>
      <c r="V134" s="6">
        <v>7</v>
      </c>
      <c r="W134" s="6"/>
      <c r="X134" s="6">
        <v>25</v>
      </c>
      <c r="Y134" s="6"/>
      <c r="Z134" s="6"/>
      <c r="AA134" s="6"/>
      <c r="AB134" s="6">
        <f>SUM(E134:AA134)</f>
        <v>200</v>
      </c>
      <c r="AC134" s="6">
        <v>568</v>
      </c>
      <c r="AD134" s="9">
        <f>SUM(AB134:AC134)</f>
        <v>768</v>
      </c>
      <c r="AE134" s="8">
        <f>AB134/AD134</f>
        <v>0.26041666666666669</v>
      </c>
      <c r="AF134" s="14">
        <v>643</v>
      </c>
      <c r="AG134" s="6">
        <v>0</v>
      </c>
      <c r="AH134" s="14">
        <v>25</v>
      </c>
      <c r="AI134" s="9">
        <f>AH134+AG134+AF134</f>
        <v>668</v>
      </c>
      <c r="AJ134" s="8">
        <f>(AG134+AH134)/AI134</f>
        <v>3.7425149700598799E-2</v>
      </c>
      <c r="AK134" s="6">
        <f>SUM(E134:W134)</f>
        <v>175</v>
      </c>
    </row>
    <row r="135" spans="1:37" s="7" customFormat="1" ht="39" customHeight="1" x14ac:dyDescent="0.25">
      <c r="A135" s="13">
        <v>46148</v>
      </c>
      <c r="B135" s="21" t="s">
        <v>1</v>
      </c>
      <c r="C135" s="11" t="s">
        <v>10</v>
      </c>
      <c r="D135" s="11">
        <v>23</v>
      </c>
      <c r="E135" s="10">
        <v>357</v>
      </c>
      <c r="F135" s="10">
        <v>225</v>
      </c>
      <c r="G135" s="10">
        <v>190</v>
      </c>
      <c r="H135" s="10">
        <v>195</v>
      </c>
      <c r="I135" s="10">
        <v>155</v>
      </c>
      <c r="J135" s="10">
        <v>5</v>
      </c>
      <c r="K135" s="6"/>
      <c r="L135" s="6">
        <v>50</v>
      </c>
      <c r="M135" s="6"/>
      <c r="N135" s="6"/>
      <c r="O135" s="6"/>
      <c r="P135" s="6"/>
      <c r="Q135" s="6"/>
      <c r="R135" s="6">
        <v>115</v>
      </c>
      <c r="S135" s="6"/>
      <c r="T135" s="6"/>
      <c r="U135" s="6"/>
      <c r="V135" s="6"/>
      <c r="W135" s="6"/>
      <c r="X135" s="6"/>
      <c r="Y135" s="6"/>
      <c r="Z135" s="6">
        <f>40+20+42+12+32+18+38</f>
        <v>202</v>
      </c>
      <c r="AA135" s="6"/>
      <c r="AB135" s="6">
        <f>SUM(E135:AA135)</f>
        <v>1494</v>
      </c>
      <c r="AC135" s="6">
        <v>188</v>
      </c>
      <c r="AD135" s="9">
        <f>SUM(AB135:AC135)</f>
        <v>1682</v>
      </c>
      <c r="AE135" s="8">
        <f>AB135/AD135</f>
        <v>0.88822829964328176</v>
      </c>
      <c r="AF135" s="14">
        <v>455</v>
      </c>
      <c r="AG135" s="6">
        <v>0</v>
      </c>
      <c r="AH135" s="14">
        <v>33</v>
      </c>
      <c r="AI135" s="9">
        <f>AH135+AG135+AF135</f>
        <v>488</v>
      </c>
      <c r="AJ135" s="8">
        <f>(AG135+AH135)/AI135</f>
        <v>6.7622950819672137E-2</v>
      </c>
      <c r="AK135" s="6">
        <f>SUM(E135:W135)</f>
        <v>1292</v>
      </c>
    </row>
    <row r="136" spans="1:37" s="7" customFormat="1" ht="39" customHeight="1" x14ac:dyDescent="0.25">
      <c r="A136" s="13">
        <v>46148</v>
      </c>
      <c r="B136" s="21" t="s">
        <v>1</v>
      </c>
      <c r="C136" s="21" t="s">
        <v>6</v>
      </c>
      <c r="D136" s="11">
        <v>24</v>
      </c>
      <c r="E136" s="6">
        <v>79</v>
      </c>
      <c r="F136" s="10">
        <v>29</v>
      </c>
      <c r="G136" s="10">
        <v>11</v>
      </c>
      <c r="H136" s="10">
        <v>8</v>
      </c>
      <c r="I136" s="10"/>
      <c r="J136" s="10">
        <v>5</v>
      </c>
      <c r="K136" s="6">
        <v>4</v>
      </c>
      <c r="L136" s="6"/>
      <c r="M136" s="6"/>
      <c r="N136" s="6">
        <v>8</v>
      </c>
      <c r="O136" s="6"/>
      <c r="P136" s="6"/>
      <c r="Q136" s="6"/>
      <c r="R136" s="6">
        <v>35</v>
      </c>
      <c r="S136" s="6"/>
      <c r="T136" s="6"/>
      <c r="U136" s="6"/>
      <c r="V136" s="6">
        <v>5</v>
      </c>
      <c r="W136" s="6"/>
      <c r="X136" s="6"/>
      <c r="Y136" s="6"/>
      <c r="Z136" s="6">
        <v>10</v>
      </c>
      <c r="AA136" s="6"/>
      <c r="AB136" s="6">
        <f>SUM(E136:AA136)</f>
        <v>194</v>
      </c>
      <c r="AC136" s="6">
        <v>770</v>
      </c>
      <c r="AD136" s="6">
        <f>SUM(AB136:AC136)</f>
        <v>964</v>
      </c>
      <c r="AE136" s="8">
        <f>AB136/AD136</f>
        <v>0.20124481327800831</v>
      </c>
      <c r="AF136" s="6">
        <v>420</v>
      </c>
      <c r="AG136" s="6">
        <v>12</v>
      </c>
      <c r="AH136" s="6">
        <v>10</v>
      </c>
      <c r="AI136" s="9">
        <f>AH136+AG136+AF136</f>
        <v>442</v>
      </c>
      <c r="AJ136" s="8">
        <f>(AG136+AH136)/AI136</f>
        <v>4.9773755656108594E-2</v>
      </c>
      <c r="AK136" s="6">
        <f>SUM(E136:W136)</f>
        <v>184</v>
      </c>
    </row>
    <row r="137" spans="1:37" s="7" customFormat="1" ht="39" customHeight="1" x14ac:dyDescent="0.25">
      <c r="A137" s="13">
        <v>46148</v>
      </c>
      <c r="B137" s="27" t="s">
        <v>5</v>
      </c>
      <c r="C137" s="27" t="s">
        <v>4</v>
      </c>
      <c r="D137" s="11">
        <v>25</v>
      </c>
      <c r="E137" s="21">
        <v>90</v>
      </c>
      <c r="F137" s="21">
        <v>59</v>
      </c>
      <c r="G137" s="21">
        <v>25</v>
      </c>
      <c r="H137" s="21">
        <v>20</v>
      </c>
      <c r="I137" s="21"/>
      <c r="J137" s="21">
        <v>60</v>
      </c>
      <c r="K137" s="21"/>
      <c r="L137" s="6"/>
      <c r="M137" s="21"/>
      <c r="N137" s="21"/>
      <c r="O137" s="21"/>
      <c r="P137" s="21"/>
      <c r="Q137" s="21"/>
      <c r="R137" s="6">
        <v>40</v>
      </c>
      <c r="S137" s="6"/>
      <c r="T137" s="6"/>
      <c r="U137" s="21"/>
      <c r="V137" s="21"/>
      <c r="W137" s="6"/>
      <c r="X137" s="6"/>
      <c r="Y137" s="6"/>
      <c r="Z137" s="6">
        <v>122</v>
      </c>
      <c r="AA137" s="6"/>
      <c r="AB137" s="6">
        <f>SUM(E137:AA137)</f>
        <v>416</v>
      </c>
      <c r="AC137" s="22">
        <v>123</v>
      </c>
      <c r="AD137" s="9">
        <f>SUM(AB137:AC137)</f>
        <v>539</v>
      </c>
      <c r="AE137" s="8">
        <f>AB137/AD137</f>
        <v>0.7717996289424861</v>
      </c>
      <c r="AF137" s="6">
        <v>970</v>
      </c>
      <c r="AG137" s="6">
        <v>22</v>
      </c>
      <c r="AH137" s="6">
        <v>7</v>
      </c>
      <c r="AI137" s="9">
        <f>AH137+AG137+AF137</f>
        <v>999</v>
      </c>
      <c r="AJ137" s="8">
        <f>(AG137+AH137)/AI137</f>
        <v>2.9029029029029031E-2</v>
      </c>
      <c r="AK137" s="6">
        <f>SUM(E137:W137)</f>
        <v>294</v>
      </c>
    </row>
    <row r="138" spans="1:37" s="7" customFormat="1" ht="39" customHeight="1" x14ac:dyDescent="0.25">
      <c r="A138" s="13">
        <v>46148</v>
      </c>
      <c r="B138" s="21" t="s">
        <v>1</v>
      </c>
      <c r="C138" s="11" t="s">
        <v>22</v>
      </c>
      <c r="D138" s="11">
        <v>26</v>
      </c>
      <c r="E138" s="10">
        <v>107</v>
      </c>
      <c r="F138" s="10">
        <v>105</v>
      </c>
      <c r="G138" s="10">
        <v>60</v>
      </c>
      <c r="H138" s="10"/>
      <c r="I138" s="10">
        <v>103</v>
      </c>
      <c r="J138" s="10">
        <v>34</v>
      </c>
      <c r="K138" s="6"/>
      <c r="L138" s="6"/>
      <c r="M138" s="6"/>
      <c r="N138" s="6"/>
      <c r="O138" s="6"/>
      <c r="P138" s="6"/>
      <c r="Q138" s="6"/>
      <c r="R138" s="6">
        <v>3</v>
      </c>
      <c r="S138" s="6"/>
      <c r="T138" s="6">
        <v>20</v>
      </c>
      <c r="U138" s="6"/>
      <c r="V138" s="6"/>
      <c r="W138" s="6"/>
      <c r="X138" s="6">
        <v>38</v>
      </c>
      <c r="Y138" s="6"/>
      <c r="Z138" s="6">
        <v>24</v>
      </c>
      <c r="AA138" s="6"/>
      <c r="AB138" s="6">
        <f>SUM(E138:AA138)</f>
        <v>494</v>
      </c>
      <c r="AC138" s="22">
        <v>18</v>
      </c>
      <c r="AD138" s="9">
        <f>SUM(AB138:AC138)</f>
        <v>512</v>
      </c>
      <c r="AE138" s="8">
        <f>AB138/AD138</f>
        <v>0.96484375</v>
      </c>
      <c r="AF138" s="6">
        <v>908</v>
      </c>
      <c r="AG138" s="6">
        <v>15</v>
      </c>
      <c r="AH138" s="6">
        <v>12</v>
      </c>
      <c r="AI138" s="9">
        <f>AH138+AG138+AF138</f>
        <v>935</v>
      </c>
      <c r="AJ138" s="8">
        <f>(AG138+AH138)/AI138</f>
        <v>2.8877005347593583E-2</v>
      </c>
      <c r="AK138" s="6">
        <f>SUM(E138:W138)</f>
        <v>432</v>
      </c>
    </row>
    <row r="139" spans="1:37" s="7" customFormat="1" ht="39" customHeight="1" x14ac:dyDescent="0.25">
      <c r="A139" s="13">
        <v>46148</v>
      </c>
      <c r="B139" s="21" t="s">
        <v>1</v>
      </c>
      <c r="C139" s="11" t="s">
        <v>24</v>
      </c>
      <c r="D139" s="11">
        <v>27</v>
      </c>
      <c r="E139" s="10">
        <v>57</v>
      </c>
      <c r="F139" s="10">
        <f>110+16</f>
        <v>126</v>
      </c>
      <c r="G139" s="10">
        <v>18</v>
      </c>
      <c r="H139" s="10"/>
      <c r="I139" s="10">
        <v>72</v>
      </c>
      <c r="J139" s="10">
        <v>18</v>
      </c>
      <c r="K139" s="6"/>
      <c r="L139" s="6"/>
      <c r="M139" s="6"/>
      <c r="N139" s="6"/>
      <c r="O139" s="6"/>
      <c r="P139" s="6">
        <v>41</v>
      </c>
      <c r="Q139" s="6"/>
      <c r="R139" s="6"/>
      <c r="S139" s="6"/>
      <c r="T139" s="6"/>
      <c r="U139" s="6"/>
      <c r="V139" s="6"/>
      <c r="W139" s="6"/>
      <c r="X139" s="6"/>
      <c r="Y139" s="6"/>
      <c r="Z139" s="6">
        <v>39</v>
      </c>
      <c r="AA139" s="6"/>
      <c r="AB139" s="6">
        <f>SUM(E139:AA139)</f>
        <v>371</v>
      </c>
      <c r="AC139" s="6">
        <v>55</v>
      </c>
      <c r="AD139" s="9">
        <f>SUM(AB139:AC139)</f>
        <v>426</v>
      </c>
      <c r="AE139" s="8">
        <f>AB139/AD139</f>
        <v>0.87089201877934275</v>
      </c>
      <c r="AF139" s="14">
        <v>557</v>
      </c>
      <c r="AG139" s="6">
        <v>0</v>
      </c>
      <c r="AH139" s="14">
        <v>20</v>
      </c>
      <c r="AI139" s="9">
        <f>AH139+AG139+AF139</f>
        <v>577</v>
      </c>
      <c r="AJ139" s="8">
        <f>(AG139+AH139)/AI139</f>
        <v>3.4662045060658578E-2</v>
      </c>
      <c r="AK139" s="6">
        <f>SUM(E139:W139)</f>
        <v>332</v>
      </c>
    </row>
    <row r="140" spans="1:37" s="7" customFormat="1" ht="39" customHeight="1" x14ac:dyDescent="0.25">
      <c r="A140" s="13">
        <v>46148</v>
      </c>
      <c r="B140" s="21" t="s">
        <v>1</v>
      </c>
      <c r="C140" s="11" t="s">
        <v>0</v>
      </c>
      <c r="D140" s="11">
        <v>28</v>
      </c>
      <c r="E140" s="10">
        <v>154</v>
      </c>
      <c r="F140" s="10">
        <v>22</v>
      </c>
      <c r="G140" s="10"/>
      <c r="H140" s="10">
        <v>19</v>
      </c>
      <c r="I140" s="10">
        <v>45</v>
      </c>
      <c r="J140" s="10">
        <v>48</v>
      </c>
      <c r="K140" s="6"/>
      <c r="L140" s="6"/>
      <c r="M140" s="6"/>
      <c r="N140" s="6"/>
      <c r="O140" s="6"/>
      <c r="P140" s="6">
        <v>12</v>
      </c>
      <c r="Q140" s="6"/>
      <c r="R140" s="6">
        <v>12</v>
      </c>
      <c r="S140" s="6"/>
      <c r="T140" s="6"/>
      <c r="U140" s="6"/>
      <c r="V140" s="6"/>
      <c r="W140" s="6"/>
      <c r="X140" s="6"/>
      <c r="Y140" s="6"/>
      <c r="Z140" s="6">
        <v>93</v>
      </c>
      <c r="AA140" s="6"/>
      <c r="AB140" s="6">
        <f>SUM(E140:AA140)</f>
        <v>405</v>
      </c>
      <c r="AC140" s="6">
        <v>49</v>
      </c>
      <c r="AD140" s="9">
        <f>SUM(AB140:AC140)</f>
        <v>454</v>
      </c>
      <c r="AE140" s="8">
        <f>AB140/AD140</f>
        <v>0.89207048458149785</v>
      </c>
      <c r="AF140" s="6">
        <v>525</v>
      </c>
      <c r="AG140" s="6">
        <v>4</v>
      </c>
      <c r="AH140" s="6">
        <v>28</v>
      </c>
      <c r="AI140" s="9">
        <f>AH140+AG140+AF140</f>
        <v>557</v>
      </c>
      <c r="AJ140" s="8">
        <f>(AG140+AH140)/AI140</f>
        <v>5.7450628366247758E-2</v>
      </c>
      <c r="AK140" s="6">
        <f>SUM(E140:W140)</f>
        <v>312</v>
      </c>
    </row>
    <row r="141" spans="1:37" s="7" customFormat="1" ht="39" customHeight="1" x14ac:dyDescent="0.25">
      <c r="A141" s="20">
        <v>46149</v>
      </c>
      <c r="B141" s="19" t="s">
        <v>1</v>
      </c>
      <c r="C141" s="25" t="s">
        <v>26</v>
      </c>
      <c r="D141" s="25">
        <v>1</v>
      </c>
      <c r="E141" s="24">
        <v>25</v>
      </c>
      <c r="F141" s="24">
        <v>24</v>
      </c>
      <c r="G141" s="24">
        <v>20</v>
      </c>
      <c r="H141" s="24"/>
      <c r="I141" s="24"/>
      <c r="J141" s="24"/>
      <c r="K141" s="15"/>
      <c r="L141" s="15"/>
      <c r="M141" s="15"/>
      <c r="N141" s="15"/>
      <c r="O141" s="15"/>
      <c r="P141" s="15"/>
      <c r="Q141" s="15"/>
      <c r="R141" s="15">
        <v>8</v>
      </c>
      <c r="S141" s="15"/>
      <c r="T141" s="15"/>
      <c r="U141" s="15"/>
      <c r="V141" s="15"/>
      <c r="W141" s="15"/>
      <c r="X141" s="15"/>
      <c r="Y141" s="15"/>
      <c r="Z141" s="15">
        <v>4</v>
      </c>
      <c r="AA141" s="15"/>
      <c r="AB141" s="15">
        <f>SUM(E141:AA141)</f>
        <v>81</v>
      </c>
      <c r="AC141" s="15">
        <v>402</v>
      </c>
      <c r="AD141" s="17">
        <f>SUM(AB141:AC141)</f>
        <v>483</v>
      </c>
      <c r="AE141" s="16">
        <f>AB141/AD141</f>
        <v>0.16770186335403728</v>
      </c>
      <c r="AF141" s="15">
        <v>745</v>
      </c>
      <c r="AG141" s="15">
        <v>0</v>
      </c>
      <c r="AH141" s="15">
        <v>13</v>
      </c>
      <c r="AI141" s="17">
        <f>AH141+AG141+AF141</f>
        <v>758</v>
      </c>
      <c r="AJ141" s="16">
        <f>(AG141+AH141)/AI141</f>
        <v>1.7150395778364115E-2</v>
      </c>
      <c r="AK141" s="15">
        <f>SUM(E141:W141)</f>
        <v>77</v>
      </c>
    </row>
    <row r="142" spans="1:37" s="7" customFormat="1" ht="39" customHeight="1" x14ac:dyDescent="0.25">
      <c r="A142" s="13">
        <v>46149</v>
      </c>
      <c r="B142" s="21" t="s">
        <v>1</v>
      </c>
      <c r="C142" s="11" t="s">
        <v>21</v>
      </c>
      <c r="D142" s="11">
        <v>2</v>
      </c>
      <c r="E142" s="10">
        <v>65</v>
      </c>
      <c r="F142" s="10">
        <v>28</v>
      </c>
      <c r="G142" s="10"/>
      <c r="H142" s="10">
        <v>25</v>
      </c>
      <c r="I142" s="10"/>
      <c r="J142" s="10">
        <v>2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>
        <v>17</v>
      </c>
      <c r="AA142" s="6"/>
      <c r="AB142" s="6">
        <f>SUM(E142:AA142)</f>
        <v>137</v>
      </c>
      <c r="AC142" s="6">
        <v>50</v>
      </c>
      <c r="AD142" s="9">
        <f>SUM(AB142:AC142)</f>
        <v>187</v>
      </c>
      <c r="AE142" s="8">
        <f>AB142/AD142</f>
        <v>0.73262032085561501</v>
      </c>
      <c r="AF142" s="6">
        <v>817</v>
      </c>
      <c r="AG142" s="6">
        <v>0</v>
      </c>
      <c r="AH142" s="14">
        <v>12</v>
      </c>
      <c r="AI142" s="9">
        <f>AH142+AG142+AF142</f>
        <v>829</v>
      </c>
      <c r="AJ142" s="8">
        <f>(AG142+AH142)/AI142</f>
        <v>1.4475271411338963E-2</v>
      </c>
      <c r="AK142" s="6">
        <f>SUM(E142:W142)</f>
        <v>120</v>
      </c>
    </row>
    <row r="143" spans="1:37" s="7" customFormat="1" ht="39" customHeight="1" x14ac:dyDescent="0.25">
      <c r="A143" s="13">
        <v>46149</v>
      </c>
      <c r="B143" s="21" t="s">
        <v>1</v>
      </c>
      <c r="C143" s="11" t="s">
        <v>9</v>
      </c>
      <c r="D143" s="11">
        <v>3</v>
      </c>
      <c r="E143" s="10">
        <f>15+10+11</f>
        <v>36</v>
      </c>
      <c r="F143" s="10">
        <f>17+16+11</f>
        <v>44</v>
      </c>
      <c r="G143" s="10">
        <f>8+7+16</f>
        <v>31</v>
      </c>
      <c r="H143" s="10">
        <f>12+11+10</f>
        <v>33</v>
      </c>
      <c r="I143" s="10"/>
      <c r="J143" s="10"/>
      <c r="K143" s="6"/>
      <c r="L143" s="6"/>
      <c r="M143" s="6"/>
      <c r="N143" s="6"/>
      <c r="O143" s="6"/>
      <c r="P143" s="6"/>
      <c r="Q143" s="6"/>
      <c r="R143" s="6"/>
      <c r="S143" s="6">
        <f>9+11</f>
        <v>20</v>
      </c>
      <c r="T143" s="6"/>
      <c r="U143" s="6"/>
      <c r="V143" s="6"/>
      <c r="W143" s="6"/>
      <c r="X143" s="6">
        <v>14</v>
      </c>
      <c r="Y143" s="6"/>
      <c r="Z143" s="6">
        <v>8</v>
      </c>
      <c r="AA143" s="6"/>
      <c r="AB143" s="6">
        <f>SUM(E143:AA143)</f>
        <v>186</v>
      </c>
      <c r="AC143" s="6">
        <v>623</v>
      </c>
      <c r="AD143" s="9">
        <f>SUM(AB143:AC143)</f>
        <v>809</v>
      </c>
      <c r="AE143" s="8">
        <f>AB143/AD143</f>
        <v>0.22991347342398022</v>
      </c>
      <c r="AF143" s="6">
        <v>964</v>
      </c>
      <c r="AG143" s="6">
        <v>0</v>
      </c>
      <c r="AH143" s="6">
        <v>7</v>
      </c>
      <c r="AI143" s="9">
        <f>AH143+AG143+AF143</f>
        <v>971</v>
      </c>
      <c r="AJ143" s="8">
        <f>(AG143+AH143)/AI143</f>
        <v>7.2090628218331619E-3</v>
      </c>
      <c r="AK143" s="6">
        <f>SUM(E143:W143)</f>
        <v>164</v>
      </c>
    </row>
    <row r="144" spans="1:37" s="7" customFormat="1" ht="39" customHeight="1" x14ac:dyDescent="0.25">
      <c r="A144" s="13">
        <v>46149</v>
      </c>
      <c r="B144" s="21" t="s">
        <v>1</v>
      </c>
      <c r="C144" s="11" t="s">
        <v>16</v>
      </c>
      <c r="D144" s="11">
        <v>4</v>
      </c>
      <c r="E144" s="10">
        <v>34</v>
      </c>
      <c r="F144" s="10">
        <v>41</v>
      </c>
      <c r="G144" s="10">
        <v>4</v>
      </c>
      <c r="H144" s="10"/>
      <c r="I144" s="10"/>
      <c r="J144" s="10"/>
      <c r="K144" s="6"/>
      <c r="L144" s="6"/>
      <c r="M144" s="6"/>
      <c r="N144" s="6"/>
      <c r="O144" s="6"/>
      <c r="P144" s="6"/>
      <c r="Q144" s="6"/>
      <c r="R144" s="6">
        <v>31</v>
      </c>
      <c r="S144" s="6"/>
      <c r="T144" s="6"/>
      <c r="U144" s="6"/>
      <c r="V144" s="6"/>
      <c r="W144" s="6"/>
      <c r="X144" s="6"/>
      <c r="Y144" s="6"/>
      <c r="Z144" s="6">
        <v>5</v>
      </c>
      <c r="AA144" s="6"/>
      <c r="AB144" s="6">
        <f>SUM(E144:AA144)</f>
        <v>115</v>
      </c>
      <c r="AC144" s="6">
        <v>347</v>
      </c>
      <c r="AD144" s="9">
        <f>SUM(AB144:AC144)</f>
        <v>462</v>
      </c>
      <c r="AE144" s="8">
        <f>AB144/AD144</f>
        <v>0.24891774891774893</v>
      </c>
      <c r="AF144" s="14">
        <v>810</v>
      </c>
      <c r="AG144" s="6">
        <v>0</v>
      </c>
      <c r="AH144" s="14">
        <v>11</v>
      </c>
      <c r="AI144" s="9">
        <f>AH144+AG144+AF144</f>
        <v>821</v>
      </c>
      <c r="AJ144" s="8">
        <f>(AG144+AH144)/AI144</f>
        <v>1.3398294762484775E-2</v>
      </c>
      <c r="AK144" s="6">
        <f>SUM(E144:W144)</f>
        <v>110</v>
      </c>
    </row>
    <row r="145" spans="1:37" s="7" customFormat="1" ht="39" customHeight="1" x14ac:dyDescent="0.25">
      <c r="A145" s="13">
        <v>46149</v>
      </c>
      <c r="B145" s="12" t="s">
        <v>1</v>
      </c>
      <c r="C145" s="11" t="s">
        <v>16</v>
      </c>
      <c r="D145" s="21">
        <v>5</v>
      </c>
      <c r="E145" s="6">
        <v>65</v>
      </c>
      <c r="F145" s="10">
        <v>65</v>
      </c>
      <c r="G145" s="10">
        <v>68</v>
      </c>
      <c r="H145" s="10">
        <v>75</v>
      </c>
      <c r="I145" s="10"/>
      <c r="J145" s="10"/>
      <c r="K145" s="6"/>
      <c r="L145" s="6"/>
      <c r="M145" s="6"/>
      <c r="N145" s="6"/>
      <c r="O145" s="6"/>
      <c r="P145" s="6"/>
      <c r="Q145" s="6"/>
      <c r="R145" s="6">
        <v>28</v>
      </c>
      <c r="S145" s="6"/>
      <c r="T145" s="6"/>
      <c r="U145" s="6"/>
      <c r="V145" s="6"/>
      <c r="W145" s="6"/>
      <c r="X145" s="6"/>
      <c r="Y145" s="6"/>
      <c r="Z145" s="6">
        <v>70</v>
      </c>
      <c r="AA145" s="6"/>
      <c r="AB145" s="6">
        <f>SUM(E145:AA145)</f>
        <v>371</v>
      </c>
      <c r="AC145" s="6">
        <v>231</v>
      </c>
      <c r="AD145" s="9">
        <f>SUM(AB145:AC145)</f>
        <v>602</v>
      </c>
      <c r="AE145" s="8">
        <f>AB145/AD145</f>
        <v>0.61627906976744184</v>
      </c>
      <c r="AF145" s="14">
        <v>915</v>
      </c>
      <c r="AG145" s="6">
        <v>0</v>
      </c>
      <c r="AH145" s="14">
        <v>17</v>
      </c>
      <c r="AI145" s="9">
        <f>AH145+AG145+AF145</f>
        <v>932</v>
      </c>
      <c r="AJ145" s="8">
        <f>(AG145+AH145)/AI145</f>
        <v>1.8240343347639486E-2</v>
      </c>
      <c r="AK145" s="6">
        <f>SUM(E145:W145)</f>
        <v>301</v>
      </c>
    </row>
    <row r="146" spans="1:37" s="7" customFormat="1" ht="39" customHeight="1" x14ac:dyDescent="0.25">
      <c r="A146" s="13">
        <v>46149</v>
      </c>
      <c r="B146" s="21" t="s">
        <v>1</v>
      </c>
      <c r="C146" s="11" t="s">
        <v>16</v>
      </c>
      <c r="D146" s="11">
        <v>6</v>
      </c>
      <c r="E146" s="6">
        <v>11</v>
      </c>
      <c r="F146" s="10">
        <v>35</v>
      </c>
      <c r="G146" s="10">
        <v>6</v>
      </c>
      <c r="H146" s="10">
        <v>11</v>
      </c>
      <c r="I146" s="10">
        <v>8</v>
      </c>
      <c r="J146" s="10">
        <v>10</v>
      </c>
      <c r="K146" s="6">
        <v>5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>
        <v>24</v>
      </c>
      <c r="AA146" s="6"/>
      <c r="AB146" s="6">
        <f>SUM(E146:AA146)</f>
        <v>110</v>
      </c>
      <c r="AC146" s="6">
        <v>158</v>
      </c>
      <c r="AD146" s="9">
        <f>SUM(AB146:AC146)</f>
        <v>268</v>
      </c>
      <c r="AE146" s="8">
        <f>AB146/AD146</f>
        <v>0.41044776119402987</v>
      </c>
      <c r="AF146" s="14">
        <v>793</v>
      </c>
      <c r="AG146" s="6">
        <v>0</v>
      </c>
      <c r="AH146" s="14">
        <v>17</v>
      </c>
      <c r="AI146" s="9">
        <f>AH146+AG146+AF146</f>
        <v>810</v>
      </c>
      <c r="AJ146" s="8">
        <f>(AG146+AH146)/AI146</f>
        <v>2.0987654320987655E-2</v>
      </c>
      <c r="AK146" s="6">
        <f>SUM(E146:W146)</f>
        <v>86</v>
      </c>
    </row>
    <row r="147" spans="1:37" s="7" customFormat="1" ht="39" customHeight="1" x14ac:dyDescent="0.25">
      <c r="A147" s="13">
        <v>46149</v>
      </c>
      <c r="B147" s="12" t="s">
        <v>1</v>
      </c>
      <c r="C147" s="11" t="s">
        <v>14</v>
      </c>
      <c r="D147" s="11">
        <v>7</v>
      </c>
      <c r="E147" s="6">
        <v>30</v>
      </c>
      <c r="F147" s="10">
        <v>20</v>
      </c>
      <c r="G147" s="10">
        <v>10</v>
      </c>
      <c r="H147" s="10">
        <v>25</v>
      </c>
      <c r="I147" s="10"/>
      <c r="J147" s="10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>
        <v>15</v>
      </c>
      <c r="Y147" s="6"/>
      <c r="Z147" s="6">
        <v>12</v>
      </c>
      <c r="AA147" s="6"/>
      <c r="AB147" s="6">
        <f>SUM(E147:AA147)</f>
        <v>112</v>
      </c>
      <c r="AC147" s="6">
        <v>591</v>
      </c>
      <c r="AD147" s="9">
        <f>SUM(AB147:AC147)</f>
        <v>703</v>
      </c>
      <c r="AE147" s="8">
        <f>AB147/AD147</f>
        <v>0.15931721194879089</v>
      </c>
      <c r="AF147" s="14">
        <v>1026</v>
      </c>
      <c r="AG147" s="6">
        <v>14</v>
      </c>
      <c r="AH147" s="14">
        <v>10</v>
      </c>
      <c r="AI147" s="9">
        <f>AH147+AG147+AF147</f>
        <v>1050</v>
      </c>
      <c r="AJ147" s="8">
        <f>(AG147+AH147)/AI147</f>
        <v>2.2857142857142857E-2</v>
      </c>
      <c r="AK147" s="6">
        <f>SUM(E147:W147)</f>
        <v>85</v>
      </c>
    </row>
    <row r="148" spans="1:37" s="7" customFormat="1" ht="39" customHeight="1" x14ac:dyDescent="0.25">
      <c r="A148" s="13">
        <v>46149</v>
      </c>
      <c r="B148" s="12" t="s">
        <v>1</v>
      </c>
      <c r="C148" s="11" t="s">
        <v>13</v>
      </c>
      <c r="D148" s="11">
        <v>8</v>
      </c>
      <c r="E148" s="10">
        <v>26</v>
      </c>
      <c r="F148" s="10">
        <v>20</v>
      </c>
      <c r="G148" s="10"/>
      <c r="H148" s="10">
        <v>7</v>
      </c>
      <c r="I148" s="10"/>
      <c r="J148" s="10"/>
      <c r="K148" s="6"/>
      <c r="L148" s="6"/>
      <c r="M148" s="6"/>
      <c r="N148" s="6"/>
      <c r="O148" s="6"/>
      <c r="P148" s="6"/>
      <c r="Q148" s="6"/>
      <c r="R148" s="6">
        <v>12</v>
      </c>
      <c r="S148" s="6"/>
      <c r="T148" s="6"/>
      <c r="U148" s="6"/>
      <c r="V148" s="6"/>
      <c r="W148" s="6"/>
      <c r="X148" s="6"/>
      <c r="Y148" s="6"/>
      <c r="Z148" s="6">
        <v>11</v>
      </c>
      <c r="AA148" s="6"/>
      <c r="AB148" s="6">
        <f>SUM(E148:AA148)</f>
        <v>76</v>
      </c>
      <c r="AC148" s="6">
        <v>412</v>
      </c>
      <c r="AD148" s="9">
        <f>SUM(AB148:AC148)</f>
        <v>488</v>
      </c>
      <c r="AE148" s="8">
        <f>AB148/AD148</f>
        <v>0.15573770491803279</v>
      </c>
      <c r="AF148" s="6">
        <v>900</v>
      </c>
      <c r="AG148" s="6">
        <v>0</v>
      </c>
      <c r="AH148" s="6">
        <v>27</v>
      </c>
      <c r="AI148" s="9">
        <f>AH148+AG148+AF148</f>
        <v>927</v>
      </c>
      <c r="AJ148" s="8">
        <f>(AG148+AH148)/AI148</f>
        <v>2.9126213592233011E-2</v>
      </c>
      <c r="AK148" s="6">
        <f>SUM(E148:W148)</f>
        <v>65</v>
      </c>
    </row>
    <row r="149" spans="1:37" s="7" customFormat="1" ht="39" customHeight="1" x14ac:dyDescent="0.25">
      <c r="A149" s="13">
        <v>46149</v>
      </c>
      <c r="B149" s="21" t="s">
        <v>1</v>
      </c>
      <c r="C149" s="11" t="s">
        <v>12</v>
      </c>
      <c r="D149" s="11">
        <v>9</v>
      </c>
      <c r="E149" s="10">
        <v>125</v>
      </c>
      <c r="F149" s="10">
        <v>112</v>
      </c>
      <c r="G149" s="10">
        <v>33</v>
      </c>
      <c r="H149" s="10">
        <v>21</v>
      </c>
      <c r="I149" s="10"/>
      <c r="J149" s="10">
        <v>93</v>
      </c>
      <c r="K149" s="6"/>
      <c r="L149" s="6">
        <v>99</v>
      </c>
      <c r="M149" s="6"/>
      <c r="N149" s="6"/>
      <c r="O149" s="6"/>
      <c r="P149" s="6"/>
      <c r="Q149" s="6"/>
      <c r="R149" s="6">
        <v>161</v>
      </c>
      <c r="S149" s="6"/>
      <c r="T149" s="6"/>
      <c r="U149" s="6"/>
      <c r="V149" s="6"/>
      <c r="W149" s="6"/>
      <c r="X149" s="6"/>
      <c r="Y149" s="6"/>
      <c r="Z149" s="6">
        <v>76</v>
      </c>
      <c r="AA149" s="6"/>
      <c r="AB149" s="6">
        <f>SUM(E149:AA149)</f>
        <v>720</v>
      </c>
      <c r="AC149" s="6">
        <v>907</v>
      </c>
      <c r="AD149" s="9">
        <f>SUM(AB149:AC149)</f>
        <v>1627</v>
      </c>
      <c r="AE149" s="8">
        <f>AB149/AD149</f>
        <v>0.44253226797787337</v>
      </c>
      <c r="AF149" s="14">
        <v>985</v>
      </c>
      <c r="AG149" s="6">
        <v>18</v>
      </c>
      <c r="AH149" s="14">
        <v>17</v>
      </c>
      <c r="AI149" s="9">
        <f>AH149+AG149+AF149</f>
        <v>1020</v>
      </c>
      <c r="AJ149" s="8">
        <f>(AG149+AH149)/AI149</f>
        <v>3.4313725490196081E-2</v>
      </c>
      <c r="AK149" s="6">
        <f>SUM(E149:W149)</f>
        <v>644</v>
      </c>
    </row>
    <row r="150" spans="1:37" s="7" customFormat="1" ht="39" customHeight="1" x14ac:dyDescent="0.25">
      <c r="A150" s="13">
        <v>46149</v>
      </c>
      <c r="B150" s="12" t="s">
        <v>1</v>
      </c>
      <c r="C150" s="11" t="s">
        <v>0</v>
      </c>
      <c r="D150" s="11">
        <v>10</v>
      </c>
      <c r="E150" s="6">
        <v>73</v>
      </c>
      <c r="F150" s="10">
        <v>52</v>
      </c>
      <c r="G150" s="10">
        <v>34</v>
      </c>
      <c r="H150" s="10">
        <v>18</v>
      </c>
      <c r="I150" s="10"/>
      <c r="J150" s="10"/>
      <c r="K150" s="6"/>
      <c r="L150" s="6"/>
      <c r="M150" s="6"/>
      <c r="N150" s="6"/>
      <c r="O150" s="6"/>
      <c r="P150" s="6"/>
      <c r="Q150" s="6"/>
      <c r="R150" s="6">
        <v>25</v>
      </c>
      <c r="S150" s="6"/>
      <c r="T150" s="6"/>
      <c r="U150" s="6"/>
      <c r="V150" s="6">
        <v>23</v>
      </c>
      <c r="W150" s="6"/>
      <c r="X150" s="6"/>
      <c r="Y150" s="6"/>
      <c r="Z150" s="6">
        <v>23</v>
      </c>
      <c r="AA150" s="6"/>
      <c r="AB150" s="6">
        <f>SUM(E150:AA150)</f>
        <v>248</v>
      </c>
      <c r="AC150" s="6">
        <v>231</v>
      </c>
      <c r="AD150" s="9">
        <f>SUM(AB150:AC150)</f>
        <v>479</v>
      </c>
      <c r="AE150" s="8">
        <f>AB150/AD150</f>
        <v>0.51774530271398744</v>
      </c>
      <c r="AF150" s="6">
        <v>539</v>
      </c>
      <c r="AG150" s="6">
        <v>16</v>
      </c>
      <c r="AH150" s="6">
        <v>9</v>
      </c>
      <c r="AI150" s="9">
        <f>AH150+AG150+AF150</f>
        <v>564</v>
      </c>
      <c r="AJ150" s="8">
        <f>(AG150+AH150)/AI150</f>
        <v>4.4326241134751775E-2</v>
      </c>
      <c r="AK150" s="6">
        <f>SUM(E150:W150)</f>
        <v>225</v>
      </c>
    </row>
    <row r="151" spans="1:37" s="7" customFormat="1" ht="39" customHeight="1" x14ac:dyDescent="0.25">
      <c r="A151" s="13">
        <v>46149</v>
      </c>
      <c r="B151" s="12" t="s">
        <v>1</v>
      </c>
      <c r="C151" s="11" t="s">
        <v>10</v>
      </c>
      <c r="D151" s="11">
        <v>11</v>
      </c>
      <c r="E151" s="21">
        <v>116</v>
      </c>
      <c r="F151" s="21">
        <v>92</v>
      </c>
      <c r="G151" s="21"/>
      <c r="H151" s="21">
        <v>39</v>
      </c>
      <c r="I151" s="21"/>
      <c r="J151" s="21"/>
      <c r="K151" s="21"/>
      <c r="L151" s="6"/>
      <c r="M151" s="21"/>
      <c r="N151" s="21"/>
      <c r="O151" s="21"/>
      <c r="P151" s="21"/>
      <c r="Q151" s="21"/>
      <c r="R151" s="6">
        <v>32</v>
      </c>
      <c r="S151" s="6"/>
      <c r="T151" s="6"/>
      <c r="U151" s="21"/>
      <c r="V151" s="21"/>
      <c r="W151" s="6"/>
      <c r="X151" s="6"/>
      <c r="Y151" s="6"/>
      <c r="Z151" s="6">
        <v>152</v>
      </c>
      <c r="AA151" s="6"/>
      <c r="AB151" s="6">
        <f>SUM(E151:AA151)</f>
        <v>431</v>
      </c>
      <c r="AC151" s="6">
        <v>478</v>
      </c>
      <c r="AD151" s="9">
        <f>SUM(AB151:AC151)</f>
        <v>909</v>
      </c>
      <c r="AE151" s="8">
        <f>AB151/AD151</f>
        <v>0.47414741474147415</v>
      </c>
      <c r="AF151" s="14">
        <v>672</v>
      </c>
      <c r="AG151" s="6">
        <v>0</v>
      </c>
      <c r="AH151" s="14">
        <v>11</v>
      </c>
      <c r="AI151" s="9">
        <f>AH151+AG151+AF151</f>
        <v>683</v>
      </c>
      <c r="AJ151" s="8">
        <f>(AG151+AH151)/AI151</f>
        <v>1.6105417276720352E-2</v>
      </c>
      <c r="AK151" s="6">
        <f>SUM(E151:W151)</f>
        <v>279</v>
      </c>
    </row>
    <row r="152" spans="1:37" s="7" customFormat="1" ht="39" customHeight="1" x14ac:dyDescent="0.25">
      <c r="A152" s="13">
        <v>46149</v>
      </c>
      <c r="B152" s="21" t="s">
        <v>1</v>
      </c>
      <c r="C152" s="11" t="s">
        <v>18</v>
      </c>
      <c r="D152" s="11">
        <v>13</v>
      </c>
      <c r="E152" s="10">
        <v>77</v>
      </c>
      <c r="F152" s="10">
        <v>85</v>
      </c>
      <c r="G152" s="10">
        <v>14</v>
      </c>
      <c r="H152" s="10">
        <v>10</v>
      </c>
      <c r="I152" s="10"/>
      <c r="J152" s="10">
        <f>4+6</f>
        <v>10</v>
      </c>
      <c r="K152" s="6"/>
      <c r="L152" s="6">
        <v>7</v>
      </c>
      <c r="M152" s="6"/>
      <c r="N152" s="6">
        <v>24</v>
      </c>
      <c r="O152" s="6"/>
      <c r="P152" s="6"/>
      <c r="Q152" s="6"/>
      <c r="R152" s="6">
        <v>42</v>
      </c>
      <c r="S152" s="6"/>
      <c r="T152" s="6"/>
      <c r="U152" s="6"/>
      <c r="V152" s="6"/>
      <c r="W152" s="6"/>
      <c r="X152" s="6"/>
      <c r="Y152" s="6"/>
      <c r="Z152" s="6">
        <v>24</v>
      </c>
      <c r="AA152" s="6"/>
      <c r="AB152" s="6">
        <f>SUM(E152:AA152)</f>
        <v>293</v>
      </c>
      <c r="AC152" s="22">
        <v>686</v>
      </c>
      <c r="AD152" s="9">
        <f>SUM(AB152:AC152)</f>
        <v>979</v>
      </c>
      <c r="AE152" s="8">
        <f>AB152/AD152</f>
        <v>0.2992849846782431</v>
      </c>
      <c r="AF152" s="6">
        <v>805</v>
      </c>
      <c r="AG152" s="6">
        <v>0</v>
      </c>
      <c r="AH152" s="6">
        <v>16</v>
      </c>
      <c r="AI152" s="9">
        <f>AH152+AG152+AF152</f>
        <v>821</v>
      </c>
      <c r="AJ152" s="8">
        <f>(AG152+AH152)/AI152</f>
        <v>1.9488428745432398E-2</v>
      </c>
      <c r="AK152" s="6">
        <f>SUM(E152:W152)</f>
        <v>269</v>
      </c>
    </row>
    <row r="153" spans="1:37" s="7" customFormat="1" ht="39" customHeight="1" x14ac:dyDescent="0.25">
      <c r="A153" s="13">
        <v>46149</v>
      </c>
      <c r="B153" s="21" t="s">
        <v>1</v>
      </c>
      <c r="C153" s="11" t="s">
        <v>8</v>
      </c>
      <c r="D153" s="11">
        <v>14</v>
      </c>
      <c r="E153" s="10">
        <v>33</v>
      </c>
      <c r="F153" s="10">
        <v>47</v>
      </c>
      <c r="G153" s="10">
        <v>80</v>
      </c>
      <c r="H153" s="10"/>
      <c r="I153" s="10"/>
      <c r="J153" s="10"/>
      <c r="K153" s="6"/>
      <c r="L153" s="6">
        <v>10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>
        <v>22</v>
      </c>
      <c r="AA153" s="6"/>
      <c r="AB153" s="6">
        <f>SUM(E153:AA153)</f>
        <v>192</v>
      </c>
      <c r="AC153" s="6">
        <v>262</v>
      </c>
      <c r="AD153" s="9">
        <f>SUM(AB153:AC153)</f>
        <v>454</v>
      </c>
      <c r="AE153" s="8">
        <f>AB153/AD153</f>
        <v>0.42290748898678415</v>
      </c>
      <c r="AF153" s="14">
        <v>643</v>
      </c>
      <c r="AG153" s="6">
        <v>0</v>
      </c>
      <c r="AH153" s="6">
        <v>21</v>
      </c>
      <c r="AI153" s="9">
        <f>AH153+AG153+AF153</f>
        <v>664</v>
      </c>
      <c r="AJ153" s="8">
        <f>(AG153+AH153)/AI153</f>
        <v>3.1626506024096383E-2</v>
      </c>
      <c r="AK153" s="6">
        <f>SUM(E153:W153)</f>
        <v>170</v>
      </c>
    </row>
    <row r="154" spans="1:37" s="7" customFormat="1" ht="39" customHeight="1" x14ac:dyDescent="0.25">
      <c r="A154" s="13">
        <v>46149</v>
      </c>
      <c r="B154" s="12" t="s">
        <v>1</v>
      </c>
      <c r="C154" s="11" t="s">
        <v>7</v>
      </c>
      <c r="D154" s="11">
        <v>15</v>
      </c>
      <c r="E154" s="10">
        <v>79</v>
      </c>
      <c r="F154" s="10">
        <v>41</v>
      </c>
      <c r="G154" s="10">
        <v>14</v>
      </c>
      <c r="H154" s="10">
        <v>32</v>
      </c>
      <c r="I154" s="10">
        <v>24</v>
      </c>
      <c r="J154" s="10">
        <v>6</v>
      </c>
      <c r="K154" s="6"/>
      <c r="L154" s="6">
        <v>19</v>
      </c>
      <c r="M154" s="6"/>
      <c r="N154" s="6">
        <v>4</v>
      </c>
      <c r="O154" s="6"/>
      <c r="P154" s="6"/>
      <c r="Q154" s="6"/>
      <c r="R154" s="6">
        <v>13</v>
      </c>
      <c r="S154" s="6"/>
      <c r="T154" s="6"/>
      <c r="U154" s="6"/>
      <c r="V154" s="6">
        <v>15</v>
      </c>
      <c r="W154" s="6"/>
      <c r="X154" s="6"/>
      <c r="Y154" s="6"/>
      <c r="Z154" s="6">
        <v>39</v>
      </c>
      <c r="AA154" s="6"/>
      <c r="AB154" s="6">
        <f>SUM(E154:AA154)</f>
        <v>286</v>
      </c>
      <c r="AC154" s="6">
        <v>197</v>
      </c>
      <c r="AD154" s="9">
        <f>SUM(AB154:AC154)</f>
        <v>483</v>
      </c>
      <c r="AE154" s="8">
        <f>AB154/AD154</f>
        <v>0.59213250517598348</v>
      </c>
      <c r="AF154" s="6">
        <v>280</v>
      </c>
      <c r="AG154" s="6">
        <v>0</v>
      </c>
      <c r="AH154" s="14">
        <v>25</v>
      </c>
      <c r="AI154" s="9">
        <f>AH154+AG154+AF154</f>
        <v>305</v>
      </c>
      <c r="AJ154" s="8">
        <f>(AG154+AH154)/AI154</f>
        <v>8.1967213114754092E-2</v>
      </c>
      <c r="AK154" s="6">
        <f>SUM(E154:W154)</f>
        <v>247</v>
      </c>
    </row>
    <row r="155" spans="1:37" s="7" customFormat="1" ht="39" customHeight="1" x14ac:dyDescent="0.25">
      <c r="A155" s="13">
        <v>46149</v>
      </c>
      <c r="B155" s="21" t="s">
        <v>1</v>
      </c>
      <c r="C155" s="11" t="s">
        <v>10</v>
      </c>
      <c r="D155" s="11">
        <v>16</v>
      </c>
      <c r="E155" s="10">
        <v>23</v>
      </c>
      <c r="F155" s="10">
        <v>90</v>
      </c>
      <c r="G155" s="10">
        <v>48</v>
      </c>
      <c r="H155" s="10">
        <v>36</v>
      </c>
      <c r="I155" s="10"/>
      <c r="J155" s="10">
        <v>5</v>
      </c>
      <c r="K155" s="6"/>
      <c r="L155" s="6">
        <v>7</v>
      </c>
      <c r="M155" s="6"/>
      <c r="N155" s="6"/>
      <c r="O155" s="6"/>
      <c r="P155" s="6"/>
      <c r="Q155" s="6"/>
      <c r="R155" s="6">
        <v>45</v>
      </c>
      <c r="S155" s="6"/>
      <c r="T155" s="6"/>
      <c r="U155" s="6"/>
      <c r="V155" s="6"/>
      <c r="W155" s="6"/>
      <c r="X155" s="6"/>
      <c r="Y155" s="6"/>
      <c r="Z155" s="6">
        <v>7</v>
      </c>
      <c r="AA155" s="6"/>
      <c r="AB155" s="6">
        <f>SUM(E155:AA155)</f>
        <v>261</v>
      </c>
      <c r="AC155" s="6">
        <v>415</v>
      </c>
      <c r="AD155" s="9">
        <f>SUM(AB155:AC155)</f>
        <v>676</v>
      </c>
      <c r="AE155" s="8">
        <f>AB155/AD155</f>
        <v>0.38609467455621299</v>
      </c>
      <c r="AF155" s="14">
        <v>202</v>
      </c>
      <c r="AG155" s="6">
        <v>0</v>
      </c>
      <c r="AH155" s="6">
        <v>23</v>
      </c>
      <c r="AI155" s="9">
        <f>AH155+AG155+AF155</f>
        <v>225</v>
      </c>
      <c r="AJ155" s="8">
        <f>(AG155+AH155)/AI155</f>
        <v>0.10222222222222223</v>
      </c>
      <c r="AK155" s="6">
        <f>SUM(E155:W155)</f>
        <v>254</v>
      </c>
    </row>
    <row r="156" spans="1:37" s="7" customFormat="1" ht="39" customHeight="1" x14ac:dyDescent="0.25">
      <c r="A156" s="13">
        <v>46149</v>
      </c>
      <c r="B156" s="21" t="s">
        <v>1</v>
      </c>
      <c r="C156" s="11" t="s">
        <v>12</v>
      </c>
      <c r="D156" s="11">
        <v>17</v>
      </c>
      <c r="E156" s="10">
        <v>58</v>
      </c>
      <c r="F156" s="10">
        <v>37</v>
      </c>
      <c r="G156" s="10">
        <v>43</v>
      </c>
      <c r="H156" s="10">
        <v>36</v>
      </c>
      <c r="I156" s="10"/>
      <c r="J156" s="10"/>
      <c r="K156" s="6"/>
      <c r="L156" s="6"/>
      <c r="M156" s="6"/>
      <c r="N156" s="6"/>
      <c r="O156" s="6"/>
      <c r="P156" s="6"/>
      <c r="Q156" s="6"/>
      <c r="R156" s="6">
        <v>93</v>
      </c>
      <c r="S156" s="6"/>
      <c r="T156" s="6"/>
      <c r="U156" s="6"/>
      <c r="V156" s="6"/>
      <c r="W156" s="6"/>
      <c r="X156" s="6">
        <v>30</v>
      </c>
      <c r="Y156" s="6"/>
      <c r="Z156" s="6">
        <v>86</v>
      </c>
      <c r="AA156" s="6"/>
      <c r="AB156" s="6">
        <f>SUM(E156:AA156)</f>
        <v>383</v>
      </c>
      <c r="AC156" s="6">
        <v>582</v>
      </c>
      <c r="AD156" s="9">
        <f>SUM(AB156:AC156)</f>
        <v>965</v>
      </c>
      <c r="AE156" s="8">
        <f>AB156/AD156</f>
        <v>0.39689119170984455</v>
      </c>
      <c r="AF156" s="6">
        <v>645</v>
      </c>
      <c r="AG156" s="6">
        <v>0</v>
      </c>
      <c r="AH156" s="14">
        <v>44</v>
      </c>
      <c r="AI156" s="9">
        <f>AH156+AG156+AF156</f>
        <v>689</v>
      </c>
      <c r="AJ156" s="8">
        <f>(AG156+AH156)/AI156</f>
        <v>6.3860667634252535E-2</v>
      </c>
      <c r="AK156" s="6">
        <f>SUM(E156:W156)</f>
        <v>267</v>
      </c>
    </row>
    <row r="157" spans="1:37" s="7" customFormat="1" ht="39" customHeight="1" x14ac:dyDescent="0.25">
      <c r="A157" s="13">
        <v>46149</v>
      </c>
      <c r="B157" s="21" t="s">
        <v>1</v>
      </c>
      <c r="C157" s="21" t="s">
        <v>6</v>
      </c>
      <c r="D157" s="21">
        <v>18</v>
      </c>
      <c r="E157" s="6">
        <v>50</v>
      </c>
      <c r="F157" s="10">
        <v>10</v>
      </c>
      <c r="G157" s="10"/>
      <c r="H157" s="10">
        <v>18</v>
      </c>
      <c r="I157" s="10"/>
      <c r="J157" s="10">
        <v>35</v>
      </c>
      <c r="K157" s="6"/>
      <c r="L157" s="6"/>
      <c r="M157" s="6"/>
      <c r="N157" s="6">
        <v>15</v>
      </c>
      <c r="O157" s="6"/>
      <c r="P157" s="6"/>
      <c r="Q157" s="6"/>
      <c r="R157" s="6">
        <v>45</v>
      </c>
      <c r="S157" s="6"/>
      <c r="T157" s="6"/>
      <c r="U157" s="6"/>
      <c r="V157" s="6">
        <v>15</v>
      </c>
      <c r="W157" s="6"/>
      <c r="X157" s="6"/>
      <c r="Y157" s="6"/>
      <c r="Z157" s="6">
        <v>35</v>
      </c>
      <c r="AA157" s="6"/>
      <c r="AB157" s="6">
        <f>SUM(E157:AA157)</f>
        <v>223</v>
      </c>
      <c r="AC157" s="6">
        <v>649</v>
      </c>
      <c r="AD157" s="9">
        <f>SUM(AB157:AC157)</f>
        <v>872</v>
      </c>
      <c r="AE157" s="8">
        <f>AB157/AD157</f>
        <v>0.25573394495412843</v>
      </c>
      <c r="AF157" s="6">
        <v>127</v>
      </c>
      <c r="AG157" s="6">
        <v>0</v>
      </c>
      <c r="AH157" s="6">
        <v>15</v>
      </c>
      <c r="AI157" s="9">
        <f>AH157+AG157+AF157</f>
        <v>142</v>
      </c>
      <c r="AJ157" s="8">
        <f>(AG157+AH157)/AI157</f>
        <v>0.10563380281690141</v>
      </c>
      <c r="AK157" s="6">
        <f>SUM(E157:W157)</f>
        <v>188</v>
      </c>
    </row>
    <row r="158" spans="1:37" s="7" customFormat="1" ht="39" customHeight="1" x14ac:dyDescent="0.25">
      <c r="A158" s="13">
        <v>46149</v>
      </c>
      <c r="B158" s="21" t="s">
        <v>1</v>
      </c>
      <c r="C158" s="11" t="s">
        <v>2</v>
      </c>
      <c r="D158" s="11">
        <v>19</v>
      </c>
      <c r="E158" s="10">
        <v>37</v>
      </c>
      <c r="F158" s="10">
        <v>15</v>
      </c>
      <c r="G158" s="10"/>
      <c r="H158" s="10"/>
      <c r="I158" s="10">
        <v>19</v>
      </c>
      <c r="J158" s="10"/>
      <c r="K158" s="6"/>
      <c r="L158" s="6"/>
      <c r="M158" s="6"/>
      <c r="N158" s="6"/>
      <c r="O158" s="6"/>
      <c r="P158" s="6">
        <v>11</v>
      </c>
      <c r="Q158" s="6"/>
      <c r="R158" s="6">
        <v>19</v>
      </c>
      <c r="S158" s="6"/>
      <c r="T158" s="6"/>
      <c r="U158" s="6"/>
      <c r="V158" s="6"/>
      <c r="W158" s="6"/>
      <c r="X158" s="6"/>
      <c r="Y158" s="6"/>
      <c r="Z158" s="6">
        <v>37</v>
      </c>
      <c r="AA158" s="6"/>
      <c r="AB158" s="6">
        <f>SUM(E158:AA158)</f>
        <v>138</v>
      </c>
      <c r="AC158" s="6">
        <v>19</v>
      </c>
      <c r="AD158" s="9">
        <f>SUM(AB158:AC158)</f>
        <v>157</v>
      </c>
      <c r="AE158" s="8">
        <f>AB158/AD158</f>
        <v>0.87898089171974525</v>
      </c>
      <c r="AF158" s="6">
        <v>151</v>
      </c>
      <c r="AG158" s="6">
        <v>0</v>
      </c>
      <c r="AH158" s="6">
        <v>12</v>
      </c>
      <c r="AI158" s="9">
        <f>AH158+AG158+AF158</f>
        <v>163</v>
      </c>
      <c r="AJ158" s="8">
        <f>(AG158+AH158)/AI158</f>
        <v>7.3619631901840496E-2</v>
      </c>
      <c r="AK158" s="6">
        <f>SUM(E158:W158)</f>
        <v>101</v>
      </c>
    </row>
    <row r="159" spans="1:37" s="7" customFormat="1" ht="39" customHeight="1" x14ac:dyDescent="0.25">
      <c r="A159" s="13">
        <v>46149</v>
      </c>
      <c r="B159" s="21" t="s">
        <v>1</v>
      </c>
      <c r="C159" s="11" t="s">
        <v>9</v>
      </c>
      <c r="D159" s="11">
        <v>20</v>
      </c>
      <c r="E159" s="10"/>
      <c r="F159" s="10">
        <v>15</v>
      </c>
      <c r="G159" s="10"/>
      <c r="H159" s="10">
        <v>68</v>
      </c>
      <c r="I159" s="10">
        <v>88</v>
      </c>
      <c r="J159" s="10"/>
      <c r="K159" s="6"/>
      <c r="L159" s="6"/>
      <c r="M159" s="6"/>
      <c r="N159" s="6">
        <v>55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>
        <v>62</v>
      </c>
      <c r="AA159" s="6"/>
      <c r="AB159" s="6">
        <f>SUM(E159:AA159)</f>
        <v>288</v>
      </c>
      <c r="AC159" s="6">
        <v>346</v>
      </c>
      <c r="AD159" s="9">
        <f>SUM(AB159:AC159)</f>
        <v>634</v>
      </c>
      <c r="AE159" s="8">
        <f>AB159/AD159</f>
        <v>0.45425867507886436</v>
      </c>
      <c r="AF159" s="14">
        <v>720</v>
      </c>
      <c r="AG159" s="6">
        <v>0</v>
      </c>
      <c r="AH159" s="6">
        <v>10</v>
      </c>
      <c r="AI159" s="9">
        <f>AH159+AG159+AF159</f>
        <v>730</v>
      </c>
      <c r="AJ159" s="8">
        <f>(AG159+AH159)/AI159</f>
        <v>1.3698630136986301E-2</v>
      </c>
      <c r="AK159" s="6">
        <f>SUM(E159:W159)</f>
        <v>226</v>
      </c>
    </row>
    <row r="160" spans="1:37" s="7" customFormat="1" ht="39" customHeight="1" x14ac:dyDescent="0.25">
      <c r="A160" s="13">
        <v>46149</v>
      </c>
      <c r="B160" s="21" t="s">
        <v>1</v>
      </c>
      <c r="C160" s="11" t="s">
        <v>25</v>
      </c>
      <c r="D160" s="11">
        <v>21</v>
      </c>
      <c r="E160" s="10">
        <v>99</v>
      </c>
      <c r="F160" s="10">
        <v>73</v>
      </c>
      <c r="G160" s="10">
        <v>20</v>
      </c>
      <c r="H160" s="10">
        <v>10</v>
      </c>
      <c r="I160" s="10"/>
      <c r="J160" s="10"/>
      <c r="K160" s="6"/>
      <c r="L160" s="6"/>
      <c r="M160" s="6"/>
      <c r="N160" s="6"/>
      <c r="O160" s="6"/>
      <c r="P160" s="6"/>
      <c r="Q160" s="6"/>
      <c r="R160" s="6">
        <v>94</v>
      </c>
      <c r="S160" s="6"/>
      <c r="T160" s="6">
        <v>90</v>
      </c>
      <c r="U160" s="6"/>
      <c r="V160" s="6"/>
      <c r="W160" s="6"/>
      <c r="X160" s="6"/>
      <c r="Y160" s="6"/>
      <c r="Z160" s="6">
        <v>45</v>
      </c>
      <c r="AA160" s="6"/>
      <c r="AB160" s="6">
        <f>SUM(E160:AA160)</f>
        <v>431</v>
      </c>
      <c r="AC160" s="6">
        <v>203</v>
      </c>
      <c r="AD160" s="9">
        <f>SUM(AB160:AC160)</f>
        <v>634</v>
      </c>
      <c r="AE160" s="8">
        <f>AB160/AD160</f>
        <v>0.67981072555205047</v>
      </c>
      <c r="AF160" s="14">
        <v>870</v>
      </c>
      <c r="AG160" s="6">
        <v>0</v>
      </c>
      <c r="AH160" s="14">
        <v>25</v>
      </c>
      <c r="AI160" s="9">
        <f>AH160+AG160+AF160</f>
        <v>895</v>
      </c>
      <c r="AJ160" s="8">
        <f>(AG160+AH160)/AI160</f>
        <v>2.7932960893854747E-2</v>
      </c>
      <c r="AK160" s="6">
        <f>SUM(E160:W160)</f>
        <v>386</v>
      </c>
    </row>
    <row r="161" spans="1:37" s="7" customFormat="1" ht="39" customHeight="1" x14ac:dyDescent="0.25">
      <c r="A161" s="13">
        <v>46149</v>
      </c>
      <c r="B161" s="21" t="s">
        <v>1</v>
      </c>
      <c r="C161" s="11" t="s">
        <v>8</v>
      </c>
      <c r="D161" s="11">
        <v>22</v>
      </c>
      <c r="E161" s="10">
        <v>27</v>
      </c>
      <c r="F161" s="10">
        <v>14</v>
      </c>
      <c r="G161" s="10">
        <v>38</v>
      </c>
      <c r="H161" s="10">
        <v>28</v>
      </c>
      <c r="I161" s="10">
        <v>11</v>
      </c>
      <c r="J161" s="10">
        <v>3</v>
      </c>
      <c r="K161" s="6">
        <v>2</v>
      </c>
      <c r="L161" s="6">
        <v>10</v>
      </c>
      <c r="M161" s="6"/>
      <c r="N161" s="6"/>
      <c r="O161" s="6">
        <v>7</v>
      </c>
      <c r="P161" s="6"/>
      <c r="Q161" s="6"/>
      <c r="R161" s="6">
        <v>17</v>
      </c>
      <c r="S161" s="6"/>
      <c r="T161" s="6"/>
      <c r="U161" s="6"/>
      <c r="V161" s="6">
        <v>10</v>
      </c>
      <c r="W161" s="6"/>
      <c r="X161" s="6">
        <v>20</v>
      </c>
      <c r="Y161" s="6"/>
      <c r="Z161" s="6">
        <v>5</v>
      </c>
      <c r="AA161" s="6"/>
      <c r="AB161" s="6">
        <f>SUM(E161:AA161)</f>
        <v>192</v>
      </c>
      <c r="AC161" s="6">
        <v>338</v>
      </c>
      <c r="AD161" s="9">
        <f>SUM(AB161:AC161)</f>
        <v>530</v>
      </c>
      <c r="AE161" s="8">
        <f>AB161/AD161</f>
        <v>0.3622641509433962</v>
      </c>
      <c r="AF161" s="14">
        <v>460</v>
      </c>
      <c r="AG161" s="6">
        <v>0</v>
      </c>
      <c r="AH161" s="14">
        <v>27</v>
      </c>
      <c r="AI161" s="9">
        <f>AH161+AG161+AF161</f>
        <v>487</v>
      </c>
      <c r="AJ161" s="8">
        <f>(AG161+AH161)/AI161</f>
        <v>5.5441478439425054E-2</v>
      </c>
      <c r="AK161" s="6">
        <f>SUM(E161:W161)</f>
        <v>167</v>
      </c>
    </row>
    <row r="162" spans="1:37" s="7" customFormat="1" ht="39" customHeight="1" x14ac:dyDescent="0.25">
      <c r="A162" s="13">
        <v>46149</v>
      </c>
      <c r="B162" s="21" t="s">
        <v>1</v>
      </c>
      <c r="C162" s="11" t="s">
        <v>10</v>
      </c>
      <c r="D162" s="11">
        <v>23</v>
      </c>
      <c r="E162" s="6">
        <v>102</v>
      </c>
      <c r="F162" s="10">
        <v>87</v>
      </c>
      <c r="G162" s="10">
        <v>20</v>
      </c>
      <c r="H162" s="10">
        <v>41</v>
      </c>
      <c r="I162" s="10">
        <v>69</v>
      </c>
      <c r="J162" s="10"/>
      <c r="K162" s="6"/>
      <c r="L162" s="6">
        <v>43</v>
      </c>
      <c r="M162" s="6"/>
      <c r="N162" s="6"/>
      <c r="O162" s="6"/>
      <c r="P162" s="6"/>
      <c r="Q162" s="6"/>
      <c r="R162" s="6">
        <v>12</v>
      </c>
      <c r="S162" s="6"/>
      <c r="T162" s="6"/>
      <c r="U162" s="6"/>
      <c r="V162" s="6"/>
      <c r="W162" s="6"/>
      <c r="X162" s="6"/>
      <c r="Y162" s="6"/>
      <c r="Z162" s="6">
        <v>173</v>
      </c>
      <c r="AA162" s="6"/>
      <c r="AB162" s="6">
        <f>SUM(E162:AA162)</f>
        <v>547</v>
      </c>
      <c r="AC162" s="6">
        <v>180</v>
      </c>
      <c r="AD162" s="9">
        <f>SUM(AB162:AC162)</f>
        <v>727</v>
      </c>
      <c r="AE162" s="8">
        <f>AB162/AD162</f>
        <v>0.75240715268225589</v>
      </c>
      <c r="AF162" s="6">
        <v>355</v>
      </c>
      <c r="AG162" s="6">
        <v>0</v>
      </c>
      <c r="AH162" s="14">
        <v>26</v>
      </c>
      <c r="AI162" s="9">
        <f>AH162+AG162+AF162</f>
        <v>381</v>
      </c>
      <c r="AJ162" s="8">
        <f>(AG162+AH162)/AI162</f>
        <v>6.8241469816272965E-2</v>
      </c>
      <c r="AK162" s="6">
        <f>SUM(E162:W162)</f>
        <v>374</v>
      </c>
    </row>
    <row r="163" spans="1:37" s="7" customFormat="1" ht="39" customHeight="1" x14ac:dyDescent="0.25">
      <c r="A163" s="13">
        <v>46149</v>
      </c>
      <c r="B163" s="21" t="s">
        <v>1</v>
      </c>
      <c r="C163" s="21" t="s">
        <v>6</v>
      </c>
      <c r="D163" s="11">
        <v>24</v>
      </c>
      <c r="E163" s="21">
        <v>58</v>
      </c>
      <c r="F163" s="21">
        <v>26</v>
      </c>
      <c r="G163" s="21">
        <v>36</v>
      </c>
      <c r="H163" s="21">
        <v>28</v>
      </c>
      <c r="I163" s="21"/>
      <c r="J163" s="21">
        <v>14</v>
      </c>
      <c r="K163" s="21"/>
      <c r="L163" s="6"/>
      <c r="M163" s="21"/>
      <c r="N163" s="21"/>
      <c r="O163" s="21"/>
      <c r="P163" s="21"/>
      <c r="Q163" s="21"/>
      <c r="R163" s="6"/>
      <c r="S163" s="6"/>
      <c r="T163" s="6"/>
      <c r="U163" s="21"/>
      <c r="V163" s="21"/>
      <c r="W163" s="6"/>
      <c r="X163" s="6"/>
      <c r="Y163" s="6"/>
      <c r="Z163" s="6">
        <v>52</v>
      </c>
      <c r="AA163" s="6"/>
      <c r="AB163" s="6">
        <f>SUM(E163:AA163)</f>
        <v>214</v>
      </c>
      <c r="AC163" s="22">
        <v>661</v>
      </c>
      <c r="AD163" s="9">
        <f>SUM(AB163:AC163)</f>
        <v>875</v>
      </c>
      <c r="AE163" s="8">
        <f>AB163/AD163</f>
        <v>0.24457142857142858</v>
      </c>
      <c r="AF163" s="6">
        <v>430</v>
      </c>
      <c r="AG163" s="6">
        <v>10</v>
      </c>
      <c r="AH163" s="6">
        <v>5</v>
      </c>
      <c r="AI163" s="9">
        <f>AH163+AG163+AF163</f>
        <v>445</v>
      </c>
      <c r="AJ163" s="8">
        <f>(AG163+AH163)/AI163</f>
        <v>3.3707865168539325E-2</v>
      </c>
      <c r="AK163" s="6">
        <f>SUM(E163:W163)</f>
        <v>162</v>
      </c>
    </row>
    <row r="164" spans="1:37" s="7" customFormat="1" ht="39" customHeight="1" x14ac:dyDescent="0.25">
      <c r="A164" s="13">
        <v>46149</v>
      </c>
      <c r="B164" s="27" t="s">
        <v>5</v>
      </c>
      <c r="C164" s="27" t="s">
        <v>4</v>
      </c>
      <c r="D164" s="11">
        <v>25</v>
      </c>
      <c r="E164" s="10">
        <v>46</v>
      </c>
      <c r="F164" s="10">
        <v>45</v>
      </c>
      <c r="G164" s="10">
        <v>25</v>
      </c>
      <c r="H164" s="10">
        <v>25</v>
      </c>
      <c r="I164" s="10"/>
      <c r="J164" s="10">
        <v>30</v>
      </c>
      <c r="K164" s="6"/>
      <c r="L164" s="6"/>
      <c r="M164" s="6"/>
      <c r="N164" s="6"/>
      <c r="O164" s="6">
        <v>15</v>
      </c>
      <c r="P164" s="6"/>
      <c r="Q164" s="6"/>
      <c r="R164" s="6">
        <v>20</v>
      </c>
      <c r="S164" s="6"/>
      <c r="T164" s="6"/>
      <c r="U164" s="6"/>
      <c r="V164" s="6"/>
      <c r="W164" s="6"/>
      <c r="X164" s="6"/>
      <c r="Y164" s="6"/>
      <c r="Z164" s="6">
        <v>110</v>
      </c>
      <c r="AA164" s="6">
        <v>10</v>
      </c>
      <c r="AB164" s="6">
        <f>SUM(E164:AA164)</f>
        <v>326</v>
      </c>
      <c r="AC164" s="22">
        <v>198</v>
      </c>
      <c r="AD164" s="9">
        <f>SUM(AB164:AC164)</f>
        <v>524</v>
      </c>
      <c r="AE164" s="8">
        <f>AB164/AD164</f>
        <v>0.62213740458015265</v>
      </c>
      <c r="AF164" s="6">
        <v>915</v>
      </c>
      <c r="AG164" s="6">
        <v>15</v>
      </c>
      <c r="AH164" s="6">
        <v>10</v>
      </c>
      <c r="AI164" s="9">
        <f>AH164+AG164+AF164</f>
        <v>940</v>
      </c>
      <c r="AJ164" s="8">
        <f>(AG164+AH164)/AI164</f>
        <v>2.6595744680851064E-2</v>
      </c>
      <c r="AK164" s="6">
        <f>SUM(E164:W164)</f>
        <v>206</v>
      </c>
    </row>
    <row r="165" spans="1:37" s="7" customFormat="1" ht="39" customHeight="1" x14ac:dyDescent="0.25">
      <c r="A165" s="13">
        <v>46149</v>
      </c>
      <c r="B165" s="21" t="s">
        <v>1</v>
      </c>
      <c r="C165" s="11" t="s">
        <v>22</v>
      </c>
      <c r="D165" s="11">
        <v>26</v>
      </c>
      <c r="E165" s="10">
        <v>175</v>
      </c>
      <c r="F165" s="10">
        <v>28</v>
      </c>
      <c r="G165" s="10">
        <v>99</v>
      </c>
      <c r="H165" s="10"/>
      <c r="I165" s="10">
        <v>131</v>
      </c>
      <c r="J165" s="10">
        <v>23</v>
      </c>
      <c r="K165" s="6"/>
      <c r="L165" s="6"/>
      <c r="M165" s="6"/>
      <c r="N165" s="6"/>
      <c r="O165" s="6"/>
      <c r="P165" s="6"/>
      <c r="Q165" s="6"/>
      <c r="R165" s="6">
        <f>2+7</f>
        <v>9</v>
      </c>
      <c r="S165" s="6"/>
      <c r="T165" s="6"/>
      <c r="U165" s="6"/>
      <c r="V165" s="6">
        <v>7</v>
      </c>
      <c r="W165" s="6"/>
      <c r="X165" s="6"/>
      <c r="Y165" s="6"/>
      <c r="Z165" s="6">
        <v>11</v>
      </c>
      <c r="AA165" s="6"/>
      <c r="AB165" s="6">
        <f>SUM(E165:AA165)</f>
        <v>483</v>
      </c>
      <c r="AC165" s="6">
        <v>23</v>
      </c>
      <c r="AD165" s="9">
        <f>SUM(AB165:AC165)</f>
        <v>506</v>
      </c>
      <c r="AE165" s="8">
        <f>AB165/AD165</f>
        <v>0.95454545454545459</v>
      </c>
      <c r="AF165" s="14">
        <v>1120</v>
      </c>
      <c r="AG165" s="6">
        <v>12</v>
      </c>
      <c r="AH165" s="14">
        <v>5</v>
      </c>
      <c r="AI165" s="9">
        <f>AH165+AG165+AF165</f>
        <v>1137</v>
      </c>
      <c r="AJ165" s="8">
        <f>(AG165+AH165)/AI165</f>
        <v>1.4951627088830254E-2</v>
      </c>
      <c r="AK165" s="6">
        <f>SUM(E165:W165)</f>
        <v>472</v>
      </c>
    </row>
    <row r="166" spans="1:37" s="7" customFormat="1" ht="39" customHeight="1" x14ac:dyDescent="0.25">
      <c r="A166" s="13">
        <v>46149</v>
      </c>
      <c r="B166" s="21" t="s">
        <v>1</v>
      </c>
      <c r="C166" s="11" t="s">
        <v>24</v>
      </c>
      <c r="D166" s="11">
        <v>27</v>
      </c>
      <c r="E166" s="10">
        <v>113</v>
      </c>
      <c r="F166" s="10">
        <v>131</v>
      </c>
      <c r="G166" s="10">
        <v>27</v>
      </c>
      <c r="H166" s="10"/>
      <c r="I166" s="10"/>
      <c r="J166" s="10"/>
      <c r="K166" s="6"/>
      <c r="L166" s="6">
        <v>9</v>
      </c>
      <c r="M166" s="6"/>
      <c r="N166" s="6"/>
      <c r="O166" s="6"/>
      <c r="P166" s="6">
        <v>73</v>
      </c>
      <c r="Q166" s="6"/>
      <c r="R166" s="6"/>
      <c r="S166" s="6"/>
      <c r="T166" s="6"/>
      <c r="U166" s="6"/>
      <c r="V166" s="6"/>
      <c r="W166" s="6"/>
      <c r="X166" s="6"/>
      <c r="Y166" s="6"/>
      <c r="Z166" s="6">
        <v>16</v>
      </c>
      <c r="AA166" s="6"/>
      <c r="AB166" s="6">
        <f>SUM(E166:AA166)</f>
        <v>369</v>
      </c>
      <c r="AC166" s="6">
        <v>48</v>
      </c>
      <c r="AD166" s="9">
        <f>SUM(AB166:AC166)</f>
        <v>417</v>
      </c>
      <c r="AE166" s="8">
        <f>AB166/AD166</f>
        <v>0.8848920863309353</v>
      </c>
      <c r="AF166" s="6">
        <v>715</v>
      </c>
      <c r="AG166" s="6">
        <v>0</v>
      </c>
      <c r="AH166" s="6">
        <v>23</v>
      </c>
      <c r="AI166" s="9">
        <f>AH166+AG166+AF166</f>
        <v>738</v>
      </c>
      <c r="AJ166" s="8">
        <f>(AG166+AH166)/AI166</f>
        <v>3.1165311653116531E-2</v>
      </c>
      <c r="AK166" s="6">
        <f>SUM(E166:W166)</f>
        <v>353</v>
      </c>
    </row>
    <row r="167" spans="1:37" s="7" customFormat="1" ht="39" customHeight="1" x14ac:dyDescent="0.25">
      <c r="A167" s="13">
        <v>46149</v>
      </c>
      <c r="B167" s="21" t="s">
        <v>1</v>
      </c>
      <c r="C167" s="11" t="s">
        <v>0</v>
      </c>
      <c r="D167" s="11">
        <v>28</v>
      </c>
      <c r="E167" s="10">
        <v>178</v>
      </c>
      <c r="F167" s="10">
        <v>40</v>
      </c>
      <c r="G167" s="10"/>
      <c r="H167" s="10">
        <v>43</v>
      </c>
      <c r="I167" s="10">
        <v>12</v>
      </c>
      <c r="J167" s="10">
        <v>26</v>
      </c>
      <c r="K167" s="6"/>
      <c r="L167" s="6"/>
      <c r="M167" s="6"/>
      <c r="N167" s="6"/>
      <c r="O167" s="6"/>
      <c r="P167" s="6">
        <v>13</v>
      </c>
      <c r="Q167" s="6"/>
      <c r="R167" s="6">
        <v>17</v>
      </c>
      <c r="S167" s="6"/>
      <c r="T167" s="6"/>
      <c r="U167" s="6"/>
      <c r="V167" s="6"/>
      <c r="W167" s="6"/>
      <c r="X167" s="6"/>
      <c r="Y167" s="6"/>
      <c r="Z167" s="6">
        <v>111</v>
      </c>
      <c r="AA167" s="6"/>
      <c r="AB167" s="6">
        <f>SUM(E167:AA167)</f>
        <v>440</v>
      </c>
      <c r="AC167" s="6">
        <v>62</v>
      </c>
      <c r="AD167" s="9">
        <f>SUM(AB167:AC167)</f>
        <v>502</v>
      </c>
      <c r="AE167" s="8">
        <f>AB167/AD167</f>
        <v>0.87649402390438247</v>
      </c>
      <c r="AF167" s="6">
        <v>399</v>
      </c>
      <c r="AG167" s="6">
        <v>4</v>
      </c>
      <c r="AH167" s="6">
        <v>25</v>
      </c>
      <c r="AI167" s="9">
        <f>AH167+AG167+AF167</f>
        <v>428</v>
      </c>
      <c r="AJ167" s="8">
        <f>(AG167+AH167)/AI167</f>
        <v>6.7757009345794386E-2</v>
      </c>
      <c r="AK167" s="6">
        <f>SUM(E167:W167)</f>
        <v>329</v>
      </c>
    </row>
    <row r="168" spans="1:37" s="7" customFormat="1" ht="39" customHeight="1" x14ac:dyDescent="0.25">
      <c r="A168" s="20">
        <v>46150</v>
      </c>
      <c r="B168" s="19" t="s">
        <v>1</v>
      </c>
      <c r="C168" s="25" t="s">
        <v>16</v>
      </c>
      <c r="D168" s="25">
        <v>1</v>
      </c>
      <c r="E168" s="24">
        <v>34</v>
      </c>
      <c r="F168" s="24">
        <v>27</v>
      </c>
      <c r="G168" s="24">
        <v>29</v>
      </c>
      <c r="H168" s="24">
        <v>6</v>
      </c>
      <c r="I168" s="24"/>
      <c r="J168" s="24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>
        <v>4</v>
      </c>
      <c r="AA168" s="15"/>
      <c r="AB168" s="15">
        <f>SUM(E168:AA168)</f>
        <v>100</v>
      </c>
      <c r="AC168" s="15">
        <v>199</v>
      </c>
      <c r="AD168" s="17">
        <f>SUM(AB168:AC168)</f>
        <v>299</v>
      </c>
      <c r="AE168" s="16">
        <f>AB168/AD168</f>
        <v>0.33444816053511706</v>
      </c>
      <c r="AF168" s="15">
        <v>1035</v>
      </c>
      <c r="AG168" s="15">
        <v>0</v>
      </c>
      <c r="AH168" s="23">
        <v>28</v>
      </c>
      <c r="AI168" s="17">
        <f>AH168+AG168+AF168</f>
        <v>1063</v>
      </c>
      <c r="AJ168" s="16">
        <f>(AG168+AH168)/AI168</f>
        <v>2.634054562558796E-2</v>
      </c>
      <c r="AK168" s="15">
        <f>SUM(E168:W168)</f>
        <v>96</v>
      </c>
    </row>
    <row r="169" spans="1:37" s="7" customFormat="1" ht="39" customHeight="1" x14ac:dyDescent="0.25">
      <c r="A169" s="13">
        <v>46150</v>
      </c>
      <c r="B169" s="21" t="s">
        <v>1</v>
      </c>
      <c r="C169" s="11" t="s">
        <v>21</v>
      </c>
      <c r="D169" s="11">
        <v>2</v>
      </c>
      <c r="E169" s="10">
        <v>65</v>
      </c>
      <c r="F169" s="10">
        <v>21</v>
      </c>
      <c r="G169" s="10">
        <v>2</v>
      </c>
      <c r="H169" s="10">
        <v>27</v>
      </c>
      <c r="I169" s="10"/>
      <c r="J169" s="10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>
        <v>13</v>
      </c>
      <c r="AA169" s="6"/>
      <c r="AB169" s="6">
        <f>SUM(E169:AA169)</f>
        <v>128</v>
      </c>
      <c r="AC169" s="6">
        <v>421</v>
      </c>
      <c r="AD169" s="9">
        <f>SUM(AB169:AC169)</f>
        <v>549</v>
      </c>
      <c r="AE169" s="8">
        <f>AB169/AD169</f>
        <v>0.2331511839708561</v>
      </c>
      <c r="AF169" s="6">
        <v>785</v>
      </c>
      <c r="AG169" s="6">
        <v>0</v>
      </c>
      <c r="AH169" s="6">
        <v>17</v>
      </c>
      <c r="AI169" s="9">
        <f>AH169+AG169+AF169</f>
        <v>802</v>
      </c>
      <c r="AJ169" s="8">
        <f>(AG169+AH169)/AI169</f>
        <v>2.119700748129676E-2</v>
      </c>
      <c r="AK169" s="6">
        <f>SUM(E169:W169)</f>
        <v>115</v>
      </c>
    </row>
    <row r="170" spans="1:37" s="7" customFormat="1" ht="39" customHeight="1" x14ac:dyDescent="0.25">
      <c r="A170" s="13">
        <v>46150</v>
      </c>
      <c r="B170" s="21" t="s">
        <v>1</v>
      </c>
      <c r="C170" s="11" t="s">
        <v>9</v>
      </c>
      <c r="D170" s="11">
        <v>3</v>
      </c>
      <c r="E170" s="10">
        <v>32</v>
      </c>
      <c r="F170" s="10">
        <v>41</v>
      </c>
      <c r="G170" s="10">
        <v>14</v>
      </c>
      <c r="H170" s="10">
        <v>11</v>
      </c>
      <c r="I170" s="10"/>
      <c r="J170" s="10"/>
      <c r="K170" s="6"/>
      <c r="L170" s="6">
        <v>7</v>
      </c>
      <c r="M170" s="6"/>
      <c r="N170" s="6"/>
      <c r="O170" s="6"/>
      <c r="P170" s="6"/>
      <c r="Q170" s="6"/>
      <c r="R170" s="6"/>
      <c r="S170" s="6">
        <v>6</v>
      </c>
      <c r="T170" s="6"/>
      <c r="U170" s="6"/>
      <c r="V170" s="6"/>
      <c r="W170" s="6"/>
      <c r="X170" s="6"/>
      <c r="Y170" s="6"/>
      <c r="Z170" s="6">
        <v>32</v>
      </c>
      <c r="AA170" s="6"/>
      <c r="AB170" s="6">
        <f>SUM(E170:AA170)</f>
        <v>143</v>
      </c>
      <c r="AC170" s="6">
        <v>316</v>
      </c>
      <c r="AD170" s="9">
        <f>SUM(AB170:AC170)</f>
        <v>459</v>
      </c>
      <c r="AE170" s="8">
        <f>AB170/AD170</f>
        <v>0.31154684095860569</v>
      </c>
      <c r="AF170" s="14">
        <v>496</v>
      </c>
      <c r="AG170" s="6">
        <v>0</v>
      </c>
      <c r="AH170" s="14">
        <v>11</v>
      </c>
      <c r="AI170" s="9">
        <f>AH170+AG170+AF170</f>
        <v>507</v>
      </c>
      <c r="AJ170" s="8">
        <f>(AG170+AH170)/AI170</f>
        <v>2.1696252465483234E-2</v>
      </c>
      <c r="AK170" s="6">
        <f>SUM(E170:W170)</f>
        <v>111</v>
      </c>
    </row>
    <row r="171" spans="1:37" s="7" customFormat="1" ht="39" customHeight="1" x14ac:dyDescent="0.25">
      <c r="A171" s="13">
        <v>46150</v>
      </c>
      <c r="B171" s="21" t="s">
        <v>1</v>
      </c>
      <c r="C171" s="11" t="s">
        <v>16</v>
      </c>
      <c r="D171" s="11">
        <v>4</v>
      </c>
      <c r="E171" s="6">
        <v>130</v>
      </c>
      <c r="F171" s="10">
        <v>129</v>
      </c>
      <c r="G171" s="10">
        <v>46</v>
      </c>
      <c r="H171" s="10">
        <v>21</v>
      </c>
      <c r="I171" s="10"/>
      <c r="J171" s="10"/>
      <c r="K171" s="6"/>
      <c r="L171" s="6">
        <v>21</v>
      </c>
      <c r="M171" s="6"/>
      <c r="N171" s="6"/>
      <c r="O171" s="6"/>
      <c r="P171" s="6"/>
      <c r="Q171" s="6"/>
      <c r="R171" s="6">
        <v>107</v>
      </c>
      <c r="S171" s="6"/>
      <c r="T171" s="6"/>
      <c r="U171" s="6"/>
      <c r="V171" s="6"/>
      <c r="W171" s="6"/>
      <c r="X171" s="6"/>
      <c r="Y171" s="6"/>
      <c r="Z171" s="6">
        <f>16+21</f>
        <v>37</v>
      </c>
      <c r="AA171" s="6"/>
      <c r="AB171" s="6">
        <f>SUM(E171:AA171)</f>
        <v>491</v>
      </c>
      <c r="AC171" s="6">
        <v>909</v>
      </c>
      <c r="AD171" s="9">
        <f>SUM(AB171:AC171)</f>
        <v>1400</v>
      </c>
      <c r="AE171" s="8">
        <f>AB171/AD171</f>
        <v>0.3507142857142857</v>
      </c>
      <c r="AF171" s="14">
        <v>870</v>
      </c>
      <c r="AG171" s="6">
        <v>0</v>
      </c>
      <c r="AH171" s="14">
        <v>13</v>
      </c>
      <c r="AI171" s="9">
        <f>AH171+AG171+AF171</f>
        <v>883</v>
      </c>
      <c r="AJ171" s="8">
        <f>(AG171+AH171)/AI171</f>
        <v>1.4722536806342015E-2</v>
      </c>
      <c r="AK171" s="6">
        <f>SUM(E171:W171)</f>
        <v>454</v>
      </c>
    </row>
    <row r="172" spans="1:37" s="7" customFormat="1" ht="39" customHeight="1" x14ac:dyDescent="0.25">
      <c r="A172" s="13">
        <v>46150</v>
      </c>
      <c r="B172" s="12" t="s">
        <v>1</v>
      </c>
      <c r="C172" s="11" t="s">
        <v>16</v>
      </c>
      <c r="D172" s="21">
        <v>5</v>
      </c>
      <c r="E172" s="6">
        <v>171</v>
      </c>
      <c r="F172" s="10">
        <v>372</v>
      </c>
      <c r="G172" s="10">
        <v>44</v>
      </c>
      <c r="H172" s="10">
        <v>209</v>
      </c>
      <c r="I172" s="10"/>
      <c r="J172" s="10"/>
      <c r="K172" s="6"/>
      <c r="L172" s="6"/>
      <c r="M172" s="6"/>
      <c r="N172" s="6"/>
      <c r="O172" s="6"/>
      <c r="P172" s="6"/>
      <c r="Q172" s="6"/>
      <c r="R172" s="6">
        <v>39</v>
      </c>
      <c r="S172" s="6"/>
      <c r="T172" s="6"/>
      <c r="U172" s="6"/>
      <c r="V172" s="6"/>
      <c r="W172" s="6"/>
      <c r="X172" s="6"/>
      <c r="Y172" s="6"/>
      <c r="Z172" s="6">
        <v>68</v>
      </c>
      <c r="AA172" s="6"/>
      <c r="AB172" s="6">
        <f>SUM(E172:AA172)</f>
        <v>903</v>
      </c>
      <c r="AC172" s="6">
        <v>213</v>
      </c>
      <c r="AD172" s="9">
        <f>SUM(AB172:AC172)</f>
        <v>1116</v>
      </c>
      <c r="AE172" s="8">
        <f>AB172/AD172</f>
        <v>0.80913978494623651</v>
      </c>
      <c r="AF172" s="14">
        <v>886</v>
      </c>
      <c r="AG172" s="6">
        <v>0</v>
      </c>
      <c r="AH172" s="14">
        <v>17</v>
      </c>
      <c r="AI172" s="9">
        <f>AH172+AG172+AF172</f>
        <v>903</v>
      </c>
      <c r="AJ172" s="8">
        <f>(AG172+AH172)/AI172</f>
        <v>1.8826135105204873E-2</v>
      </c>
      <c r="AK172" s="6">
        <f>SUM(E172:W172)</f>
        <v>835</v>
      </c>
    </row>
    <row r="173" spans="1:37" s="7" customFormat="1" ht="39" customHeight="1" x14ac:dyDescent="0.25">
      <c r="A173" s="13">
        <v>46150</v>
      </c>
      <c r="B173" s="21" t="s">
        <v>1</v>
      </c>
      <c r="C173" s="11" t="s">
        <v>15</v>
      </c>
      <c r="D173" s="11">
        <v>6</v>
      </c>
      <c r="E173" s="6">
        <v>105</v>
      </c>
      <c r="F173" s="10">
        <v>108</v>
      </c>
      <c r="G173" s="10"/>
      <c r="H173" s="10">
        <v>98</v>
      </c>
      <c r="I173" s="10">
        <v>43</v>
      </c>
      <c r="J173" s="10">
        <v>48</v>
      </c>
      <c r="K173" s="6"/>
      <c r="L173" s="6"/>
      <c r="M173" s="6"/>
      <c r="N173" s="6"/>
      <c r="O173" s="6"/>
      <c r="P173" s="6"/>
      <c r="Q173" s="6"/>
      <c r="R173" s="6">
        <v>51</v>
      </c>
      <c r="S173" s="6"/>
      <c r="T173" s="6"/>
      <c r="U173" s="6"/>
      <c r="V173" s="6"/>
      <c r="W173" s="6"/>
      <c r="X173" s="6"/>
      <c r="Y173" s="6"/>
      <c r="Z173" s="6">
        <v>128</v>
      </c>
      <c r="AA173" s="6"/>
      <c r="AB173" s="6">
        <f>SUM(E173:AA173)</f>
        <v>581</v>
      </c>
      <c r="AC173" s="6">
        <v>458</v>
      </c>
      <c r="AD173" s="9">
        <f>SUM(AB173:AC173)</f>
        <v>1039</v>
      </c>
      <c r="AE173" s="8">
        <f>AB173/AD173</f>
        <v>0.55919153031761304</v>
      </c>
      <c r="AF173" s="14">
        <v>831</v>
      </c>
      <c r="AG173" s="6">
        <v>0</v>
      </c>
      <c r="AH173" s="14">
        <v>27</v>
      </c>
      <c r="AI173" s="9">
        <f>AH173+AG173+AF173</f>
        <v>858</v>
      </c>
      <c r="AJ173" s="8">
        <f>(AG173+AH173)/AI173</f>
        <v>3.1468531468531472E-2</v>
      </c>
      <c r="AK173" s="6">
        <f>SUM(E173:W173)</f>
        <v>453</v>
      </c>
    </row>
    <row r="174" spans="1:37" s="7" customFormat="1" ht="39" customHeight="1" x14ac:dyDescent="0.25">
      <c r="A174" s="13">
        <v>46150</v>
      </c>
      <c r="B174" s="12" t="s">
        <v>1</v>
      </c>
      <c r="C174" s="11" t="s">
        <v>14</v>
      </c>
      <c r="D174" s="11">
        <v>7</v>
      </c>
      <c r="E174" s="10">
        <v>40</v>
      </c>
      <c r="F174" s="10">
        <v>30</v>
      </c>
      <c r="G174" s="10"/>
      <c r="H174" s="10">
        <v>26</v>
      </c>
      <c r="I174" s="10"/>
      <c r="J174" s="10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>
        <v>20</v>
      </c>
      <c r="Y174" s="6"/>
      <c r="Z174" s="6">
        <v>25</v>
      </c>
      <c r="AA174" s="6"/>
      <c r="AB174" s="6">
        <f>SUM(E174:AA174)</f>
        <v>141</v>
      </c>
      <c r="AC174" s="6">
        <v>461</v>
      </c>
      <c r="AD174" s="9">
        <f>SUM(AB174:AC174)</f>
        <v>602</v>
      </c>
      <c r="AE174" s="8">
        <f>AB174/AD174</f>
        <v>0.23421926910299004</v>
      </c>
      <c r="AF174" s="6">
        <v>940</v>
      </c>
      <c r="AG174" s="6">
        <v>8</v>
      </c>
      <c r="AH174" s="6">
        <v>7</v>
      </c>
      <c r="AI174" s="9">
        <f>AH174+AG174+AF174</f>
        <v>955</v>
      </c>
      <c r="AJ174" s="8">
        <f>(AG174+AH174)/AI174</f>
        <v>1.5706806282722512E-2</v>
      </c>
      <c r="AK174" s="6">
        <f>SUM(E174:W174)</f>
        <v>96</v>
      </c>
    </row>
    <row r="175" spans="1:37" s="7" customFormat="1" ht="39" customHeight="1" x14ac:dyDescent="0.25">
      <c r="A175" s="13">
        <v>46150</v>
      </c>
      <c r="B175" s="12" t="s">
        <v>1</v>
      </c>
      <c r="C175" s="11" t="s">
        <v>13</v>
      </c>
      <c r="D175" s="11">
        <v>8</v>
      </c>
      <c r="E175" s="10">
        <v>69</v>
      </c>
      <c r="F175" s="10">
        <v>55</v>
      </c>
      <c r="G175" s="10">
        <v>20</v>
      </c>
      <c r="H175" s="10">
        <v>10</v>
      </c>
      <c r="I175" s="10"/>
      <c r="J175" s="10">
        <v>10</v>
      </c>
      <c r="K175" s="6"/>
      <c r="L175" s="6"/>
      <c r="M175" s="6"/>
      <c r="N175" s="6"/>
      <c r="O175" s="6"/>
      <c r="P175" s="6"/>
      <c r="Q175" s="6"/>
      <c r="R175" s="6">
        <v>39</v>
      </c>
      <c r="S175" s="6"/>
      <c r="T175" s="6"/>
      <c r="U175" s="6"/>
      <c r="V175" s="6"/>
      <c r="W175" s="6"/>
      <c r="X175" s="6"/>
      <c r="Y175" s="6"/>
      <c r="Z175" s="6">
        <v>55</v>
      </c>
      <c r="AA175" s="6"/>
      <c r="AB175" s="6">
        <f>SUM(E175:AA175)</f>
        <v>258</v>
      </c>
      <c r="AC175" s="6">
        <v>434</v>
      </c>
      <c r="AD175" s="9">
        <f>SUM(AB175:AC175)</f>
        <v>692</v>
      </c>
      <c r="AE175" s="8">
        <f>AB175/AD175</f>
        <v>0.37283236994219654</v>
      </c>
      <c r="AF175" s="14">
        <v>933</v>
      </c>
      <c r="AG175" s="6">
        <v>0</v>
      </c>
      <c r="AH175" s="14">
        <v>20</v>
      </c>
      <c r="AI175" s="9">
        <f>AH175+AG175+AF175</f>
        <v>953</v>
      </c>
      <c r="AJ175" s="8">
        <f>(AG175+AH175)/AI175</f>
        <v>2.098635886673662E-2</v>
      </c>
      <c r="AK175" s="6">
        <f>SUM(E175:W175)</f>
        <v>203</v>
      </c>
    </row>
    <row r="176" spans="1:37" s="7" customFormat="1" ht="39" customHeight="1" x14ac:dyDescent="0.25">
      <c r="A176" s="13">
        <v>46150</v>
      </c>
      <c r="B176" s="21" t="s">
        <v>1</v>
      </c>
      <c r="C176" s="11" t="s">
        <v>12</v>
      </c>
      <c r="D176" s="11">
        <v>9</v>
      </c>
      <c r="E176" s="6">
        <v>43</v>
      </c>
      <c r="F176" s="10">
        <v>71</v>
      </c>
      <c r="G176" s="10">
        <v>110</v>
      </c>
      <c r="H176" s="10"/>
      <c r="I176" s="10"/>
      <c r="J176" s="10">
        <v>86</v>
      </c>
      <c r="K176" s="6">
        <v>48</v>
      </c>
      <c r="L176" s="6">
        <v>127</v>
      </c>
      <c r="M176" s="6"/>
      <c r="N176" s="6"/>
      <c r="O176" s="6"/>
      <c r="P176" s="6"/>
      <c r="Q176" s="6"/>
      <c r="R176" s="6">
        <v>71</v>
      </c>
      <c r="S176" s="6"/>
      <c r="T176" s="6"/>
      <c r="U176" s="6"/>
      <c r="V176" s="6"/>
      <c r="W176" s="6"/>
      <c r="X176" s="6">
        <v>30</v>
      </c>
      <c r="Y176" s="6"/>
      <c r="Z176" s="6">
        <v>57</v>
      </c>
      <c r="AA176" s="6"/>
      <c r="AB176" s="6">
        <f>SUM(E176:AA176)</f>
        <v>643</v>
      </c>
      <c r="AC176" s="6">
        <v>727</v>
      </c>
      <c r="AD176" s="9">
        <f>SUM(AB176:AC176)</f>
        <v>1370</v>
      </c>
      <c r="AE176" s="8">
        <f>AB176/AD176</f>
        <v>0.46934306569343065</v>
      </c>
      <c r="AF176" s="6">
        <v>923</v>
      </c>
      <c r="AG176" s="6">
        <v>12</v>
      </c>
      <c r="AH176" s="6">
        <v>12</v>
      </c>
      <c r="AI176" s="9">
        <f>AH176+AG176+AF176</f>
        <v>947</v>
      </c>
      <c r="AJ176" s="8">
        <f>(AG176+AH176)/AI176</f>
        <v>2.5343189017951427E-2</v>
      </c>
      <c r="AK176" s="6">
        <f>SUM(E176:W176)</f>
        <v>556</v>
      </c>
    </row>
    <row r="177" spans="1:37" s="7" customFormat="1" ht="39" customHeight="1" x14ac:dyDescent="0.25">
      <c r="A177" s="13">
        <v>46150</v>
      </c>
      <c r="B177" s="12" t="s">
        <v>1</v>
      </c>
      <c r="C177" s="11" t="s">
        <v>0</v>
      </c>
      <c r="D177" s="11">
        <v>10</v>
      </c>
      <c r="E177" s="21">
        <v>54</v>
      </c>
      <c r="F177" s="21">
        <v>43</v>
      </c>
      <c r="G177" s="21">
        <v>28</v>
      </c>
      <c r="H177" s="21">
        <v>26</v>
      </c>
      <c r="I177" s="21"/>
      <c r="J177" s="21"/>
      <c r="K177" s="21"/>
      <c r="L177" s="6">
        <v>18</v>
      </c>
      <c r="M177" s="21"/>
      <c r="N177" s="21"/>
      <c r="O177" s="21"/>
      <c r="P177" s="21"/>
      <c r="Q177" s="21"/>
      <c r="R177" s="6"/>
      <c r="S177" s="6"/>
      <c r="T177" s="6"/>
      <c r="U177" s="21"/>
      <c r="V177" s="21">
        <v>18</v>
      </c>
      <c r="W177" s="6">
        <v>34</v>
      </c>
      <c r="X177" s="6"/>
      <c r="Y177" s="6"/>
      <c r="Z177" s="6">
        <v>20</v>
      </c>
      <c r="AA177" s="6"/>
      <c r="AB177" s="6">
        <f>SUM(E177:AA177)</f>
        <v>241</v>
      </c>
      <c r="AC177" s="6">
        <v>212</v>
      </c>
      <c r="AD177" s="9">
        <f>SUM(AB177:AC177)</f>
        <v>453</v>
      </c>
      <c r="AE177" s="8">
        <f>AB177/AD177</f>
        <v>0.53200883002207511</v>
      </c>
      <c r="AF177" s="14">
        <v>155</v>
      </c>
      <c r="AG177" s="6">
        <v>7</v>
      </c>
      <c r="AH177" s="14">
        <v>9</v>
      </c>
      <c r="AI177" s="9">
        <f>AH177+AG177+AF177</f>
        <v>171</v>
      </c>
      <c r="AJ177" s="8">
        <f>(AG177+AH177)/AI177</f>
        <v>9.3567251461988299E-2</v>
      </c>
      <c r="AK177" s="6">
        <f>SUM(E177:W177)</f>
        <v>221</v>
      </c>
    </row>
    <row r="178" spans="1:37" s="7" customFormat="1" ht="39" customHeight="1" x14ac:dyDescent="0.25">
      <c r="A178" s="13">
        <v>46150</v>
      </c>
      <c r="B178" s="12" t="s">
        <v>1</v>
      </c>
      <c r="C178" s="11" t="s">
        <v>10</v>
      </c>
      <c r="D178" s="11">
        <v>11</v>
      </c>
      <c r="E178" s="10">
        <v>83</v>
      </c>
      <c r="F178" s="10">
        <v>123</v>
      </c>
      <c r="G178" s="10">
        <v>39</v>
      </c>
      <c r="H178" s="10">
        <v>53</v>
      </c>
      <c r="I178" s="10"/>
      <c r="J178" s="10"/>
      <c r="K178" s="6"/>
      <c r="L178" s="6"/>
      <c r="M178" s="6"/>
      <c r="N178" s="6"/>
      <c r="O178" s="6"/>
      <c r="P178" s="6"/>
      <c r="Q178" s="6"/>
      <c r="R178" s="6">
        <v>86</v>
      </c>
      <c r="S178" s="6"/>
      <c r="T178" s="6"/>
      <c r="U178" s="6"/>
      <c r="V178" s="6"/>
      <c r="W178" s="6"/>
      <c r="X178" s="6"/>
      <c r="Y178" s="6"/>
      <c r="Z178" s="6">
        <v>275</v>
      </c>
      <c r="AA178" s="6"/>
      <c r="AB178" s="6">
        <f>SUM(E178:AA178)</f>
        <v>659</v>
      </c>
      <c r="AC178" s="22">
        <v>270</v>
      </c>
      <c r="AD178" s="9">
        <f>SUM(AB178:AC178)</f>
        <v>929</v>
      </c>
      <c r="AE178" s="8">
        <f>AB178/AD178</f>
        <v>0.70936490850376754</v>
      </c>
      <c r="AF178" s="6">
        <v>684</v>
      </c>
      <c r="AG178" s="6">
        <v>0</v>
      </c>
      <c r="AH178" s="6">
        <v>5</v>
      </c>
      <c r="AI178" s="9">
        <f>AH178+AG178+AF178</f>
        <v>689</v>
      </c>
      <c r="AJ178" s="8">
        <f>(AG178+AH178)/AI178</f>
        <v>7.2568940493468797E-3</v>
      </c>
      <c r="AK178" s="6">
        <f>SUM(E178:W178)</f>
        <v>384</v>
      </c>
    </row>
    <row r="179" spans="1:37" s="7" customFormat="1" ht="39" customHeight="1" x14ac:dyDescent="0.25">
      <c r="A179" s="13">
        <v>46150</v>
      </c>
      <c r="B179" s="21" t="s">
        <v>1</v>
      </c>
      <c r="C179" s="11" t="s">
        <v>18</v>
      </c>
      <c r="D179" s="11">
        <v>13</v>
      </c>
      <c r="E179" s="10">
        <v>131</v>
      </c>
      <c r="F179" s="10">
        <v>79</v>
      </c>
      <c r="G179" s="10"/>
      <c r="H179" s="10">
        <v>47</v>
      </c>
      <c r="I179" s="10"/>
      <c r="J179" s="10"/>
      <c r="K179" s="6"/>
      <c r="L179" s="6">
        <v>24</v>
      </c>
      <c r="M179" s="6"/>
      <c r="N179" s="6"/>
      <c r="O179" s="6"/>
      <c r="P179" s="6"/>
      <c r="Q179" s="6"/>
      <c r="R179" s="6">
        <v>63</v>
      </c>
      <c r="S179" s="6"/>
      <c r="T179" s="6"/>
      <c r="U179" s="6"/>
      <c r="V179" s="6"/>
      <c r="W179" s="6"/>
      <c r="X179" s="6"/>
      <c r="Y179" s="6"/>
      <c r="Z179" s="6">
        <v>20</v>
      </c>
      <c r="AA179" s="6"/>
      <c r="AB179" s="6">
        <f>SUM(E179:AA179)</f>
        <v>364</v>
      </c>
      <c r="AC179" s="6">
        <v>330</v>
      </c>
      <c r="AD179" s="9">
        <f>SUM(AB179:AC179)</f>
        <v>694</v>
      </c>
      <c r="AE179" s="8">
        <f>AB179/AD179</f>
        <v>0.52449567723342938</v>
      </c>
      <c r="AF179" s="14">
        <v>679</v>
      </c>
      <c r="AG179" s="6">
        <v>0</v>
      </c>
      <c r="AH179" s="14">
        <v>12</v>
      </c>
      <c r="AI179" s="9">
        <f>AH179+AG179+AF179</f>
        <v>691</v>
      </c>
      <c r="AJ179" s="8">
        <f>(AG179+AH179)/AI179</f>
        <v>1.7366136034732273E-2</v>
      </c>
      <c r="AK179" s="6">
        <f>SUM(E179:W179)</f>
        <v>344</v>
      </c>
    </row>
    <row r="180" spans="1:37" s="7" customFormat="1" ht="39" customHeight="1" x14ac:dyDescent="0.25">
      <c r="A180" s="13">
        <v>46150</v>
      </c>
      <c r="B180" s="21" t="s">
        <v>1</v>
      </c>
      <c r="C180" s="11" t="s">
        <v>8</v>
      </c>
      <c r="D180" s="11">
        <v>14</v>
      </c>
      <c r="E180" s="10">
        <v>10</v>
      </c>
      <c r="F180" s="10">
        <v>35</v>
      </c>
      <c r="G180" s="10">
        <v>105</v>
      </c>
      <c r="H180" s="10"/>
      <c r="I180" s="10"/>
      <c r="J180" s="10"/>
      <c r="K180" s="6"/>
      <c r="L180" s="6">
        <v>30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>
        <v>45</v>
      </c>
      <c r="AA180" s="6"/>
      <c r="AB180" s="6">
        <f>SUM(E180:AA180)</f>
        <v>225</v>
      </c>
      <c r="AC180" s="6">
        <v>228</v>
      </c>
      <c r="AD180" s="9">
        <f>SUM(AB180:AC180)</f>
        <v>453</v>
      </c>
      <c r="AE180" s="8">
        <f>AB180/AD180</f>
        <v>0.49668874172185429</v>
      </c>
      <c r="AF180" s="6">
        <v>625</v>
      </c>
      <c r="AG180" s="6">
        <v>0</v>
      </c>
      <c r="AH180" s="6">
        <v>19</v>
      </c>
      <c r="AI180" s="9">
        <f>AH180+AG180+AF180</f>
        <v>644</v>
      </c>
      <c r="AJ180" s="8">
        <f>(AG180+AH180)/AI180</f>
        <v>2.9503105590062112E-2</v>
      </c>
      <c r="AK180" s="6">
        <f>SUM(E180:W180)</f>
        <v>180</v>
      </c>
    </row>
    <row r="181" spans="1:37" s="7" customFormat="1" ht="39" customHeight="1" x14ac:dyDescent="0.25">
      <c r="A181" s="13">
        <v>46150</v>
      </c>
      <c r="B181" s="12" t="s">
        <v>1</v>
      </c>
      <c r="C181" s="11" t="s">
        <v>7</v>
      </c>
      <c r="D181" s="11">
        <v>15</v>
      </c>
      <c r="E181" s="10">
        <v>91</v>
      </c>
      <c r="F181" s="10">
        <v>48</v>
      </c>
      <c r="G181" s="10">
        <v>54</v>
      </c>
      <c r="H181" s="10">
        <v>61</v>
      </c>
      <c r="I181" s="10">
        <v>79</v>
      </c>
      <c r="J181" s="10">
        <v>9</v>
      </c>
      <c r="K181" s="6"/>
      <c r="L181" s="6">
        <v>18</v>
      </c>
      <c r="M181" s="6"/>
      <c r="N181" s="6">
        <v>5</v>
      </c>
      <c r="O181" s="6">
        <v>18</v>
      </c>
      <c r="P181" s="6"/>
      <c r="Q181" s="6"/>
      <c r="R181" s="6">
        <v>2</v>
      </c>
      <c r="S181" s="6"/>
      <c r="T181" s="6"/>
      <c r="U181" s="6"/>
      <c r="V181" s="6">
        <v>10</v>
      </c>
      <c r="W181" s="6"/>
      <c r="X181" s="6"/>
      <c r="Y181" s="6"/>
      <c r="Z181" s="6">
        <v>78</v>
      </c>
      <c r="AA181" s="6"/>
      <c r="AB181" s="6">
        <f>SUM(E181:AA181)</f>
        <v>473</v>
      </c>
      <c r="AC181" s="6">
        <v>293</v>
      </c>
      <c r="AD181" s="9">
        <f>SUM(AB181:AC181)</f>
        <v>766</v>
      </c>
      <c r="AE181" s="8">
        <f>AB181/AD181</f>
        <v>0.61749347258485643</v>
      </c>
      <c r="AF181" s="14">
        <v>230</v>
      </c>
      <c r="AG181" s="6">
        <v>0</v>
      </c>
      <c r="AH181" s="14">
        <v>10</v>
      </c>
      <c r="AI181" s="9">
        <f>AH181+AG181+AF181</f>
        <v>240</v>
      </c>
      <c r="AJ181" s="8">
        <f>(AG181+AH181)/AI181</f>
        <v>4.1666666666666664E-2</v>
      </c>
      <c r="AK181" s="6">
        <f>SUM(E181:W181)</f>
        <v>395</v>
      </c>
    </row>
    <row r="182" spans="1:37" s="7" customFormat="1" ht="39" customHeight="1" x14ac:dyDescent="0.25">
      <c r="A182" s="13">
        <v>46150</v>
      </c>
      <c r="B182" s="21" t="s">
        <v>1</v>
      </c>
      <c r="C182" s="11" t="s">
        <v>10</v>
      </c>
      <c r="D182" s="11">
        <v>16</v>
      </c>
      <c r="E182" s="10">
        <v>275</v>
      </c>
      <c r="F182" s="10">
        <v>655</v>
      </c>
      <c r="G182" s="10">
        <v>212</v>
      </c>
      <c r="H182" s="10">
        <v>180</v>
      </c>
      <c r="I182" s="10"/>
      <c r="J182" s="10">
        <v>110</v>
      </c>
      <c r="K182" s="6"/>
      <c r="L182" s="6"/>
      <c r="M182" s="6"/>
      <c r="N182" s="6"/>
      <c r="O182" s="6"/>
      <c r="P182" s="6"/>
      <c r="Q182" s="6"/>
      <c r="R182" s="6">
        <v>207</v>
      </c>
      <c r="S182" s="6"/>
      <c r="T182" s="6"/>
      <c r="U182" s="6"/>
      <c r="V182" s="6"/>
      <c r="W182" s="6"/>
      <c r="X182" s="6"/>
      <c r="Y182" s="6"/>
      <c r="Z182" s="6">
        <v>80</v>
      </c>
      <c r="AA182" s="6"/>
      <c r="AB182" s="6">
        <f>SUM(E182:AA182)</f>
        <v>1719</v>
      </c>
      <c r="AC182" s="6">
        <v>486</v>
      </c>
      <c r="AD182" s="9">
        <f>SUM(AB182:AC182)</f>
        <v>2205</v>
      </c>
      <c r="AE182" s="8">
        <f>AB182/AD182</f>
        <v>0.7795918367346939</v>
      </c>
      <c r="AF182" s="14">
        <v>213</v>
      </c>
      <c r="AG182" s="6">
        <v>0</v>
      </c>
      <c r="AH182" s="14">
        <v>26</v>
      </c>
      <c r="AI182" s="9">
        <f>AH182+AG182+AF182</f>
        <v>239</v>
      </c>
      <c r="AJ182" s="8">
        <f>(AG182+AH182)/AI182</f>
        <v>0.10878661087866109</v>
      </c>
      <c r="AK182" s="6">
        <f>SUM(E182:W182)</f>
        <v>1639</v>
      </c>
    </row>
    <row r="183" spans="1:37" s="7" customFormat="1" ht="39" customHeight="1" x14ac:dyDescent="0.25">
      <c r="A183" s="13">
        <v>46150</v>
      </c>
      <c r="B183" s="21" t="s">
        <v>1</v>
      </c>
      <c r="C183" s="11" t="s">
        <v>12</v>
      </c>
      <c r="D183" s="11">
        <v>17</v>
      </c>
      <c r="E183" s="6">
        <v>26</v>
      </c>
      <c r="F183" s="10">
        <v>54</v>
      </c>
      <c r="G183" s="10">
        <v>92</v>
      </c>
      <c r="H183" s="10">
        <v>19</v>
      </c>
      <c r="I183" s="10"/>
      <c r="J183" s="10"/>
      <c r="K183" s="6"/>
      <c r="L183" s="6"/>
      <c r="M183" s="6"/>
      <c r="N183" s="6"/>
      <c r="O183" s="6"/>
      <c r="P183" s="6"/>
      <c r="Q183" s="6"/>
      <c r="R183" s="6">
        <v>115</v>
      </c>
      <c r="S183" s="6"/>
      <c r="T183" s="6"/>
      <c r="U183" s="6"/>
      <c r="V183" s="6"/>
      <c r="W183" s="6"/>
      <c r="X183" s="6"/>
      <c r="Y183" s="6"/>
      <c r="Z183" s="6">
        <v>61</v>
      </c>
      <c r="AA183" s="6"/>
      <c r="AB183" s="6">
        <f>SUM(E183:AA183)</f>
        <v>367</v>
      </c>
      <c r="AC183" s="6">
        <v>532</v>
      </c>
      <c r="AD183" s="9">
        <f>SUM(AB183:AC183)</f>
        <v>899</v>
      </c>
      <c r="AE183" s="8">
        <f>AB183/AD183</f>
        <v>0.40823136818687428</v>
      </c>
      <c r="AF183" s="6">
        <v>590</v>
      </c>
      <c r="AG183" s="6">
        <v>0</v>
      </c>
      <c r="AH183" s="6">
        <v>32</v>
      </c>
      <c r="AI183" s="9">
        <f>AH183+AG183+AF183</f>
        <v>622</v>
      </c>
      <c r="AJ183" s="8">
        <f>(AG183+AH183)/AI183</f>
        <v>5.1446945337620578E-2</v>
      </c>
      <c r="AK183" s="6">
        <f>SUM(E183:W183)</f>
        <v>306</v>
      </c>
    </row>
    <row r="184" spans="1:37" s="7" customFormat="1" ht="39" customHeight="1" x14ac:dyDescent="0.25">
      <c r="A184" s="13">
        <v>46150</v>
      </c>
      <c r="B184" s="21" t="s">
        <v>1</v>
      </c>
      <c r="C184" s="21" t="s">
        <v>6</v>
      </c>
      <c r="D184" s="21">
        <v>18</v>
      </c>
      <c r="E184" s="10">
        <v>90</v>
      </c>
      <c r="F184" s="10">
        <v>10</v>
      </c>
      <c r="G184" s="10"/>
      <c r="H184" s="10"/>
      <c r="I184" s="10"/>
      <c r="J184" s="10">
        <v>11</v>
      </c>
      <c r="K184" s="6"/>
      <c r="L184" s="6"/>
      <c r="M184" s="6"/>
      <c r="N184" s="6">
        <v>40</v>
      </c>
      <c r="O184" s="6"/>
      <c r="P184" s="6"/>
      <c r="Q184" s="6"/>
      <c r="R184" s="6">
        <v>40</v>
      </c>
      <c r="S184" s="6"/>
      <c r="T184" s="6"/>
      <c r="U184" s="6"/>
      <c r="V184" s="6"/>
      <c r="W184" s="6"/>
      <c r="X184" s="6"/>
      <c r="Y184" s="6"/>
      <c r="Z184" s="6">
        <v>40</v>
      </c>
      <c r="AA184" s="6"/>
      <c r="AB184" s="6">
        <f>SUM(E184:AA184)</f>
        <v>231</v>
      </c>
      <c r="AC184" s="6">
        <v>514</v>
      </c>
      <c r="AD184" s="9">
        <f>SUM(AB184:AC184)</f>
        <v>745</v>
      </c>
      <c r="AE184" s="8">
        <f>AB184/AD184</f>
        <v>0.31006711409395971</v>
      </c>
      <c r="AF184" s="6">
        <v>350</v>
      </c>
      <c r="AG184" s="6">
        <v>0</v>
      </c>
      <c r="AH184" s="6">
        <v>10</v>
      </c>
      <c r="AI184" s="9">
        <f>AH184+AG184+AF184</f>
        <v>360</v>
      </c>
      <c r="AJ184" s="8">
        <f>(AG184+AH184)/AI184</f>
        <v>2.7777777777777776E-2</v>
      </c>
      <c r="AK184" s="6">
        <f>SUM(E184:W184)</f>
        <v>191</v>
      </c>
    </row>
    <row r="185" spans="1:37" s="7" customFormat="1" ht="39" customHeight="1" x14ac:dyDescent="0.25">
      <c r="A185" s="13">
        <v>46150</v>
      </c>
      <c r="B185" s="21" t="s">
        <v>1</v>
      </c>
      <c r="C185" s="11" t="s">
        <v>2</v>
      </c>
      <c r="D185" s="11">
        <v>19</v>
      </c>
      <c r="E185" s="10">
        <v>54</v>
      </c>
      <c r="F185" s="10">
        <v>32</v>
      </c>
      <c r="G185" s="10">
        <v>25</v>
      </c>
      <c r="H185" s="10"/>
      <c r="I185" s="10">
        <v>10</v>
      </c>
      <c r="J185" s="10"/>
      <c r="K185" s="6"/>
      <c r="L185" s="6"/>
      <c r="M185" s="6"/>
      <c r="N185" s="6"/>
      <c r="O185" s="6"/>
      <c r="P185" s="6"/>
      <c r="Q185" s="6"/>
      <c r="R185" s="6">
        <v>35</v>
      </c>
      <c r="S185" s="6"/>
      <c r="T185" s="6"/>
      <c r="U185" s="6"/>
      <c r="V185" s="6"/>
      <c r="W185" s="6"/>
      <c r="X185" s="6"/>
      <c r="Y185" s="6"/>
      <c r="Z185" s="6">
        <v>24</v>
      </c>
      <c r="AA185" s="6"/>
      <c r="AB185" s="6">
        <f>SUM(E185:AA185)</f>
        <v>180</v>
      </c>
      <c r="AC185" s="6">
        <v>99</v>
      </c>
      <c r="AD185" s="9">
        <f>SUM(AB185:AC185)</f>
        <v>279</v>
      </c>
      <c r="AE185" s="8">
        <f>AB185/AD185</f>
        <v>0.64516129032258063</v>
      </c>
      <c r="AF185" s="6">
        <v>460</v>
      </c>
      <c r="AG185" s="6">
        <v>0</v>
      </c>
      <c r="AH185" s="6">
        <v>10</v>
      </c>
      <c r="AI185" s="9">
        <f>AH185+AG185+AF185</f>
        <v>470</v>
      </c>
      <c r="AJ185" s="8">
        <f>(AG185+AH185)/AI185</f>
        <v>2.1276595744680851E-2</v>
      </c>
      <c r="AK185" s="6">
        <f>SUM(E185:W185)</f>
        <v>156</v>
      </c>
    </row>
    <row r="186" spans="1:37" s="7" customFormat="1" ht="39" customHeight="1" x14ac:dyDescent="0.25">
      <c r="A186" s="13">
        <v>46150</v>
      </c>
      <c r="B186" s="21" t="s">
        <v>1</v>
      </c>
      <c r="C186" s="11" t="s">
        <v>9</v>
      </c>
      <c r="D186" s="11">
        <v>20</v>
      </c>
      <c r="E186" s="10">
        <v>17</v>
      </c>
      <c r="F186" s="10">
        <v>48</v>
      </c>
      <c r="G186" s="10"/>
      <c r="H186" s="10">
        <v>36</v>
      </c>
      <c r="I186" s="10">
        <v>124</v>
      </c>
      <c r="J186" s="10"/>
      <c r="K186" s="6"/>
      <c r="L186" s="6"/>
      <c r="M186" s="6"/>
      <c r="N186" s="6">
        <v>50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>
        <v>27</v>
      </c>
      <c r="AA186" s="6"/>
      <c r="AB186" s="6">
        <f>SUM(E186:AA186)</f>
        <v>302</v>
      </c>
      <c r="AC186" s="6">
        <v>395</v>
      </c>
      <c r="AD186" s="9">
        <f>SUM(AB186:AC186)</f>
        <v>697</v>
      </c>
      <c r="AE186" s="8">
        <f>AB186/AD186</f>
        <v>0.43328550932568149</v>
      </c>
      <c r="AF186" s="14">
        <v>450</v>
      </c>
      <c r="AG186" s="6">
        <v>0</v>
      </c>
      <c r="AH186" s="14">
        <v>10</v>
      </c>
      <c r="AI186" s="9">
        <f>AH186+AG186+AF186</f>
        <v>460</v>
      </c>
      <c r="AJ186" s="8">
        <f>(AG186+AH186)/AI186</f>
        <v>2.1739130434782608E-2</v>
      </c>
      <c r="AK186" s="6">
        <f>SUM(E186:W186)</f>
        <v>275</v>
      </c>
    </row>
    <row r="187" spans="1:37" s="7" customFormat="1" ht="39" customHeight="1" x14ac:dyDescent="0.25">
      <c r="A187" s="13">
        <v>46150</v>
      </c>
      <c r="B187" s="21" t="s">
        <v>1</v>
      </c>
      <c r="C187" s="11" t="s">
        <v>25</v>
      </c>
      <c r="D187" s="11">
        <v>21</v>
      </c>
      <c r="E187" s="10">
        <v>90</v>
      </c>
      <c r="F187" s="10">
        <v>60</v>
      </c>
      <c r="G187" s="10"/>
      <c r="H187" s="10"/>
      <c r="I187" s="10"/>
      <c r="J187" s="10">
        <v>10</v>
      </c>
      <c r="K187" s="6"/>
      <c r="L187" s="6"/>
      <c r="M187" s="6">
        <v>55</v>
      </c>
      <c r="N187" s="6"/>
      <c r="O187" s="6"/>
      <c r="P187" s="6"/>
      <c r="Q187" s="6"/>
      <c r="R187" s="6">
        <v>110</v>
      </c>
      <c r="S187" s="6"/>
      <c r="T187" s="6"/>
      <c r="U187" s="6"/>
      <c r="V187" s="6"/>
      <c r="W187" s="6"/>
      <c r="X187" s="6"/>
      <c r="Y187" s="6"/>
      <c r="Z187" s="6">
        <v>50</v>
      </c>
      <c r="AA187" s="6"/>
      <c r="AB187" s="6">
        <f>SUM(E187:AA187)</f>
        <v>375</v>
      </c>
      <c r="AC187" s="6">
        <v>231</v>
      </c>
      <c r="AD187" s="9">
        <f>SUM(AB187:AC187)</f>
        <v>606</v>
      </c>
      <c r="AE187" s="8">
        <f>AB187/AD187</f>
        <v>0.61881188118811881</v>
      </c>
      <c r="AF187" s="14">
        <v>850</v>
      </c>
      <c r="AG187" s="6">
        <v>0</v>
      </c>
      <c r="AH187" s="14">
        <v>17</v>
      </c>
      <c r="AI187" s="9">
        <f>AH187+AG187+AF187</f>
        <v>867</v>
      </c>
      <c r="AJ187" s="8">
        <f>(AG187+AH187)/AI187</f>
        <v>1.9607843137254902E-2</v>
      </c>
      <c r="AK187" s="6">
        <f>SUM(E187:W187)</f>
        <v>325</v>
      </c>
    </row>
    <row r="188" spans="1:37" s="7" customFormat="1" ht="39" customHeight="1" x14ac:dyDescent="0.25">
      <c r="A188" s="13">
        <v>46150</v>
      </c>
      <c r="B188" s="21" t="s">
        <v>1</v>
      </c>
      <c r="C188" s="11" t="s">
        <v>8</v>
      </c>
      <c r="D188" s="11">
        <v>22</v>
      </c>
      <c r="E188" s="6">
        <v>21</v>
      </c>
      <c r="F188" s="10">
        <v>35</v>
      </c>
      <c r="G188" s="10">
        <v>10</v>
      </c>
      <c r="H188" s="10">
        <v>21</v>
      </c>
      <c r="I188" s="10">
        <v>15</v>
      </c>
      <c r="J188" s="10">
        <v>6</v>
      </c>
      <c r="K188" s="6"/>
      <c r="L188" s="6">
        <v>4</v>
      </c>
      <c r="M188" s="6"/>
      <c r="N188" s="6"/>
      <c r="O188" s="6">
        <v>4</v>
      </c>
      <c r="P188" s="6"/>
      <c r="Q188" s="6"/>
      <c r="R188" s="6">
        <f>10+21</f>
        <v>31</v>
      </c>
      <c r="S188" s="6"/>
      <c r="T188" s="6"/>
      <c r="U188" s="6"/>
      <c r="V188" s="6">
        <v>8</v>
      </c>
      <c r="W188" s="6"/>
      <c r="X188" s="6">
        <v>23</v>
      </c>
      <c r="Y188" s="6"/>
      <c r="Z188" s="6"/>
      <c r="AA188" s="6"/>
      <c r="AB188" s="6">
        <f>SUM(E188:AA188)</f>
        <v>178</v>
      </c>
      <c r="AC188" s="6">
        <v>321</v>
      </c>
      <c r="AD188" s="9">
        <f>SUM(AB188:AC188)</f>
        <v>499</v>
      </c>
      <c r="AE188" s="8">
        <f>AB188/AD188</f>
        <v>0.35671342685370744</v>
      </c>
      <c r="AF188" s="14">
        <v>460</v>
      </c>
      <c r="AG188" s="6">
        <v>0</v>
      </c>
      <c r="AH188" s="14">
        <v>15</v>
      </c>
      <c r="AI188" s="9">
        <f>AH188+AG188+AF188</f>
        <v>475</v>
      </c>
      <c r="AJ188" s="8">
        <f>(AG188+AH188)/AI188</f>
        <v>3.1578947368421054E-2</v>
      </c>
      <c r="AK188" s="6">
        <f>SUM(E188:W188)</f>
        <v>155</v>
      </c>
    </row>
    <row r="189" spans="1:37" s="7" customFormat="1" ht="39" customHeight="1" x14ac:dyDescent="0.25">
      <c r="A189" s="13">
        <v>46150</v>
      </c>
      <c r="B189" s="21" t="s">
        <v>1</v>
      </c>
      <c r="C189" s="11" t="s">
        <v>10</v>
      </c>
      <c r="D189" s="11">
        <v>23</v>
      </c>
      <c r="E189" s="21">
        <v>195</v>
      </c>
      <c r="F189" s="21">
        <v>117</v>
      </c>
      <c r="G189" s="21">
        <v>40</v>
      </c>
      <c r="H189" s="21">
        <v>95</v>
      </c>
      <c r="I189" s="21">
        <v>97</v>
      </c>
      <c r="J189" s="21"/>
      <c r="K189" s="21"/>
      <c r="L189" s="6">
        <v>20</v>
      </c>
      <c r="M189" s="21"/>
      <c r="N189" s="21"/>
      <c r="O189" s="21"/>
      <c r="P189" s="21"/>
      <c r="Q189" s="21"/>
      <c r="R189" s="6">
        <v>60</v>
      </c>
      <c r="S189" s="6"/>
      <c r="T189" s="6"/>
      <c r="U189" s="21"/>
      <c r="V189" s="21"/>
      <c r="W189" s="6"/>
      <c r="X189" s="6"/>
      <c r="Y189" s="6"/>
      <c r="Z189" s="6">
        <v>160</v>
      </c>
      <c r="AA189" s="6"/>
      <c r="AB189" s="6">
        <f>SUM(E189:AA189)</f>
        <v>784</v>
      </c>
      <c r="AC189" s="22">
        <v>153</v>
      </c>
      <c r="AD189" s="9">
        <f>SUM(AB189:AC189)</f>
        <v>937</v>
      </c>
      <c r="AE189" s="8">
        <f>AB189/AD189</f>
        <v>0.83671291355389543</v>
      </c>
      <c r="AF189" s="6">
        <v>675</v>
      </c>
      <c r="AG189" s="6">
        <v>0</v>
      </c>
      <c r="AH189" s="6">
        <v>20</v>
      </c>
      <c r="AI189" s="9">
        <f>AH189+AG189+AF189</f>
        <v>695</v>
      </c>
      <c r="AJ189" s="8">
        <f>(AG189+AH189)/AI189</f>
        <v>2.8776978417266189E-2</v>
      </c>
      <c r="AK189" s="6">
        <f>SUM(E189:W189)</f>
        <v>624</v>
      </c>
    </row>
    <row r="190" spans="1:37" s="7" customFormat="1" ht="39" customHeight="1" x14ac:dyDescent="0.25">
      <c r="A190" s="13">
        <v>46150</v>
      </c>
      <c r="B190" s="21" t="s">
        <v>1</v>
      </c>
      <c r="C190" s="21" t="s">
        <v>6</v>
      </c>
      <c r="D190" s="11">
        <v>24</v>
      </c>
      <c r="E190" s="10">
        <v>41</v>
      </c>
      <c r="F190" s="10">
        <v>38</v>
      </c>
      <c r="G190" s="10">
        <v>29</v>
      </c>
      <c r="H190" s="10">
        <v>12</v>
      </c>
      <c r="I190" s="10"/>
      <c r="J190" s="10">
        <v>16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>
        <v>36</v>
      </c>
      <c r="AA190" s="6"/>
      <c r="AB190" s="6">
        <f>SUM(E190:AA190)</f>
        <v>172</v>
      </c>
      <c r="AC190" s="6">
        <v>778</v>
      </c>
      <c r="AD190" s="9">
        <f>SUM(AB190:AC190)</f>
        <v>950</v>
      </c>
      <c r="AE190" s="8">
        <f>AB190/AD190</f>
        <v>0.18105263157894738</v>
      </c>
      <c r="AF190" s="6">
        <v>570</v>
      </c>
      <c r="AG190" s="6">
        <v>5</v>
      </c>
      <c r="AH190" s="6">
        <v>12</v>
      </c>
      <c r="AI190" s="9">
        <f>AH190+AG190+AF190</f>
        <v>587</v>
      </c>
      <c r="AJ190" s="8">
        <f>(AG190+AH190)/AI190</f>
        <v>2.8960817717206135E-2</v>
      </c>
      <c r="AK190" s="6">
        <f>SUM(E190:W190)</f>
        <v>136</v>
      </c>
    </row>
    <row r="191" spans="1:37" s="7" customFormat="1" ht="39" customHeight="1" x14ac:dyDescent="0.25">
      <c r="A191" s="13">
        <v>46150</v>
      </c>
      <c r="B191" s="27" t="s">
        <v>5</v>
      </c>
      <c r="C191" s="27" t="s">
        <v>4</v>
      </c>
      <c r="D191" s="11">
        <v>25</v>
      </c>
      <c r="E191" s="10">
        <v>20</v>
      </c>
      <c r="F191" s="10">
        <v>2</v>
      </c>
      <c r="G191" s="10">
        <v>10</v>
      </c>
      <c r="H191" s="10"/>
      <c r="I191" s="10"/>
      <c r="J191" s="10">
        <v>20</v>
      </c>
      <c r="K191" s="6"/>
      <c r="L191" s="6"/>
      <c r="M191" s="6"/>
      <c r="N191" s="6"/>
      <c r="O191" s="6"/>
      <c r="P191" s="6"/>
      <c r="Q191" s="6"/>
      <c r="R191" s="6">
        <v>10</v>
      </c>
      <c r="S191" s="6"/>
      <c r="T191" s="6"/>
      <c r="U191" s="6"/>
      <c r="V191" s="6"/>
      <c r="W191" s="6"/>
      <c r="X191" s="6"/>
      <c r="Y191" s="6"/>
      <c r="Z191" s="6">
        <v>35</v>
      </c>
      <c r="AA191" s="6"/>
      <c r="AB191" s="6">
        <f>SUM(E191:AA191)</f>
        <v>97</v>
      </c>
      <c r="AC191" s="6">
        <v>103</v>
      </c>
      <c r="AD191" s="9">
        <f>SUM(AB191:AC191)</f>
        <v>200</v>
      </c>
      <c r="AE191" s="8">
        <f>AB191/AD191</f>
        <v>0.48499999999999999</v>
      </c>
      <c r="AF191" s="14">
        <v>965</v>
      </c>
      <c r="AG191" s="6">
        <v>17</v>
      </c>
      <c r="AH191" s="14">
        <v>5</v>
      </c>
      <c r="AI191" s="9">
        <f>AH191+AG191+AF191</f>
        <v>987</v>
      </c>
      <c r="AJ191" s="8">
        <f>(AG191+AH191)/AI191</f>
        <v>2.2289766970618033E-2</v>
      </c>
      <c r="AK191" s="6">
        <f>SUM(E191:W191)</f>
        <v>62</v>
      </c>
    </row>
    <row r="192" spans="1:37" s="7" customFormat="1" ht="39" customHeight="1" x14ac:dyDescent="0.25">
      <c r="A192" s="13">
        <v>46150</v>
      </c>
      <c r="B192" s="21" t="s">
        <v>1</v>
      </c>
      <c r="C192" s="11" t="s">
        <v>22</v>
      </c>
      <c r="D192" s="11">
        <v>26</v>
      </c>
      <c r="E192" s="10">
        <v>103</v>
      </c>
      <c r="F192" s="10">
        <v>18</v>
      </c>
      <c r="G192" s="10">
        <v>102</v>
      </c>
      <c r="H192" s="10"/>
      <c r="I192" s="10">
        <v>97</v>
      </c>
      <c r="J192" s="10">
        <v>6</v>
      </c>
      <c r="K192" s="6"/>
      <c r="L192" s="6"/>
      <c r="M192" s="6"/>
      <c r="N192" s="6"/>
      <c r="O192" s="6"/>
      <c r="P192" s="6"/>
      <c r="Q192" s="6"/>
      <c r="R192" s="6">
        <v>11</v>
      </c>
      <c r="S192" s="6"/>
      <c r="T192" s="6">
        <v>16</v>
      </c>
      <c r="U192" s="6"/>
      <c r="V192" s="6">
        <v>3</v>
      </c>
      <c r="W192" s="6"/>
      <c r="X192" s="6"/>
      <c r="Y192" s="6"/>
      <c r="Z192" s="6">
        <f>9+4</f>
        <v>13</v>
      </c>
      <c r="AA192" s="6"/>
      <c r="AB192" s="6">
        <f>SUM(E192:AA192)</f>
        <v>369</v>
      </c>
      <c r="AC192" s="6">
        <v>15</v>
      </c>
      <c r="AD192" s="9">
        <f>SUM(AB192:AC192)</f>
        <v>384</v>
      </c>
      <c r="AE192" s="8">
        <f>AB192/AD192</f>
        <v>0.9609375</v>
      </c>
      <c r="AF192" s="6">
        <v>1022</v>
      </c>
      <c r="AG192" s="6">
        <v>9</v>
      </c>
      <c r="AH192" s="6">
        <v>2</v>
      </c>
      <c r="AI192" s="9">
        <f>AH192+AG192+AF192</f>
        <v>1033</v>
      </c>
      <c r="AJ192" s="8">
        <f>(AG192+AH192)/AI192</f>
        <v>1.0648596321393998E-2</v>
      </c>
      <c r="AK192" s="6">
        <f>SUM(E192:W192)</f>
        <v>356</v>
      </c>
    </row>
    <row r="193" spans="1:37" s="7" customFormat="1" ht="39" customHeight="1" x14ac:dyDescent="0.25">
      <c r="A193" s="13">
        <v>46150</v>
      </c>
      <c r="B193" s="21" t="s">
        <v>1</v>
      </c>
      <c r="C193" s="11" t="s">
        <v>24</v>
      </c>
      <c r="D193" s="11">
        <v>27</v>
      </c>
      <c r="E193" s="10">
        <v>71</v>
      </c>
      <c r="F193" s="10">
        <v>35</v>
      </c>
      <c r="G193" s="10">
        <v>18</v>
      </c>
      <c r="H193" s="10"/>
      <c r="I193" s="10">
        <v>10</v>
      </c>
      <c r="J193" s="10"/>
      <c r="K193" s="6"/>
      <c r="L193" s="6">
        <v>5</v>
      </c>
      <c r="M193" s="6"/>
      <c r="N193" s="6"/>
      <c r="O193" s="6"/>
      <c r="P193" s="6"/>
      <c r="Q193" s="6"/>
      <c r="R193" s="6">
        <v>28</v>
      </c>
      <c r="S193" s="6"/>
      <c r="T193" s="6"/>
      <c r="U193" s="6"/>
      <c r="V193" s="6"/>
      <c r="W193" s="6"/>
      <c r="X193" s="6"/>
      <c r="Y193" s="6"/>
      <c r="Z193" s="6">
        <v>23</v>
      </c>
      <c r="AA193" s="6"/>
      <c r="AB193" s="6">
        <f>SUM(E193:AA193)</f>
        <v>190</v>
      </c>
      <c r="AC193" s="6">
        <v>76</v>
      </c>
      <c r="AD193" s="9">
        <f>SUM(AB193:AC193)</f>
        <v>266</v>
      </c>
      <c r="AE193" s="8">
        <f>AB193/AD193</f>
        <v>0.7142857142857143</v>
      </c>
      <c r="AF193" s="6">
        <v>813</v>
      </c>
      <c r="AG193" s="6">
        <v>0</v>
      </c>
      <c r="AH193" s="6">
        <v>15</v>
      </c>
      <c r="AI193" s="9">
        <f>AH193+AG193+AF193</f>
        <v>828</v>
      </c>
      <c r="AJ193" s="8">
        <f>(AG193+AH193)/AI193</f>
        <v>1.8115942028985508E-2</v>
      </c>
      <c r="AK193" s="6">
        <f>SUM(E193:W193)</f>
        <v>167</v>
      </c>
    </row>
    <row r="194" spans="1:37" s="7" customFormat="1" ht="39" customHeight="1" x14ac:dyDescent="0.25">
      <c r="A194" s="13">
        <v>46150</v>
      </c>
      <c r="B194" s="21" t="s">
        <v>1</v>
      </c>
      <c r="C194" s="11" t="s">
        <v>0</v>
      </c>
      <c r="D194" s="11">
        <v>28</v>
      </c>
      <c r="E194" s="10">
        <v>157</v>
      </c>
      <c r="F194" s="10">
        <v>66</v>
      </c>
      <c r="G194" s="10"/>
      <c r="H194" s="10">
        <v>34</v>
      </c>
      <c r="I194" s="10">
        <v>19</v>
      </c>
      <c r="J194" s="10">
        <v>38</v>
      </c>
      <c r="K194" s="6"/>
      <c r="L194" s="6"/>
      <c r="M194" s="6"/>
      <c r="N194" s="6"/>
      <c r="O194" s="6"/>
      <c r="P194" s="6">
        <v>20</v>
      </c>
      <c r="Q194" s="6"/>
      <c r="R194" s="6"/>
      <c r="S194" s="6"/>
      <c r="T194" s="6"/>
      <c r="U194" s="6"/>
      <c r="V194" s="6"/>
      <c r="W194" s="6"/>
      <c r="X194" s="6"/>
      <c r="Y194" s="6"/>
      <c r="Z194" s="6">
        <v>130</v>
      </c>
      <c r="AA194" s="6"/>
      <c r="AB194" s="6">
        <f>SUM(E194:AA194)</f>
        <v>464</v>
      </c>
      <c r="AC194" s="6">
        <v>36</v>
      </c>
      <c r="AD194" s="9">
        <f>SUM(AB194:AC194)</f>
        <v>500</v>
      </c>
      <c r="AE194" s="8">
        <f>AB194/AD194</f>
        <v>0.92800000000000005</v>
      </c>
      <c r="AF194" s="6">
        <v>576</v>
      </c>
      <c r="AG194" s="6">
        <v>4</v>
      </c>
      <c r="AH194" s="14">
        <v>21</v>
      </c>
      <c r="AI194" s="9">
        <f>AH194+AG194+AF194</f>
        <v>601</v>
      </c>
      <c r="AJ194" s="8">
        <f>(AG194+AH194)/AI194</f>
        <v>4.1597337770382693E-2</v>
      </c>
      <c r="AK194" s="6">
        <f>SUM(E194:W194)</f>
        <v>334</v>
      </c>
    </row>
    <row r="195" spans="1:37" s="7" customFormat="1" ht="39" customHeight="1" x14ac:dyDescent="0.25">
      <c r="A195" s="20">
        <v>46151</v>
      </c>
      <c r="B195" s="19" t="s">
        <v>1</v>
      </c>
      <c r="C195" s="25" t="s">
        <v>16</v>
      </c>
      <c r="D195" s="25">
        <v>1</v>
      </c>
      <c r="E195" s="24">
        <v>28</v>
      </c>
      <c r="F195" s="24">
        <v>37</v>
      </c>
      <c r="G195" s="24">
        <v>31</v>
      </c>
      <c r="H195" s="24"/>
      <c r="I195" s="24"/>
      <c r="J195" s="24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>
        <v>5</v>
      </c>
      <c r="AA195" s="15"/>
      <c r="AB195" s="15">
        <f>SUM(E195:AA195)</f>
        <v>101</v>
      </c>
      <c r="AC195" s="15">
        <v>156</v>
      </c>
      <c r="AD195" s="17">
        <f>SUM(AB195:AC195)</f>
        <v>257</v>
      </c>
      <c r="AE195" s="16">
        <f>AB195/AD195</f>
        <v>0.39299610894941633</v>
      </c>
      <c r="AF195" s="15">
        <v>605</v>
      </c>
      <c r="AG195" s="15">
        <v>0</v>
      </c>
      <c r="AH195" s="23">
        <v>15</v>
      </c>
      <c r="AI195" s="17">
        <f>AH195+AG195+AF195</f>
        <v>620</v>
      </c>
      <c r="AJ195" s="16">
        <f>(AG195+AH195)/AI195</f>
        <v>2.4193548387096774E-2</v>
      </c>
      <c r="AK195" s="15">
        <f>SUM(E195:W195)</f>
        <v>96</v>
      </c>
    </row>
    <row r="196" spans="1:37" s="7" customFormat="1" ht="39" customHeight="1" x14ac:dyDescent="0.25">
      <c r="A196" s="13">
        <v>46151</v>
      </c>
      <c r="B196" s="21" t="s">
        <v>1</v>
      </c>
      <c r="C196" s="11" t="s">
        <v>21</v>
      </c>
      <c r="D196" s="11">
        <v>2</v>
      </c>
      <c r="E196" s="10">
        <f>70+80+35+20</f>
        <v>205</v>
      </c>
      <c r="F196" s="10">
        <v>105</v>
      </c>
      <c r="G196" s="10"/>
      <c r="H196" s="10">
        <v>80</v>
      </c>
      <c r="I196" s="10"/>
      <c r="J196" s="10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>
        <v>65</v>
      </c>
      <c r="AA196" s="6"/>
      <c r="AB196" s="6">
        <f>SUM(E196:AA196)</f>
        <v>455</v>
      </c>
      <c r="AC196" s="6">
        <v>257</v>
      </c>
      <c r="AD196" s="9">
        <f>SUM(AB196:AC196)</f>
        <v>712</v>
      </c>
      <c r="AE196" s="8">
        <f>AB196/AD196</f>
        <v>0.6390449438202247</v>
      </c>
      <c r="AF196" s="14">
        <v>496</v>
      </c>
      <c r="AG196" s="6">
        <v>0</v>
      </c>
      <c r="AH196" s="14">
        <v>16</v>
      </c>
      <c r="AI196" s="9">
        <f>AH196+AG196+AF196</f>
        <v>512</v>
      </c>
      <c r="AJ196" s="8">
        <f>(AG196+AH196)/AI196</f>
        <v>3.125E-2</v>
      </c>
      <c r="AK196" s="6">
        <f>SUM(E196:W196)</f>
        <v>390</v>
      </c>
    </row>
    <row r="197" spans="1:37" s="7" customFormat="1" ht="39" customHeight="1" x14ac:dyDescent="0.25">
      <c r="A197" s="13">
        <v>46151</v>
      </c>
      <c r="B197" s="21" t="s">
        <v>1</v>
      </c>
      <c r="C197" s="11" t="s">
        <v>16</v>
      </c>
      <c r="D197" s="11">
        <v>3</v>
      </c>
      <c r="E197" s="10">
        <v>36</v>
      </c>
      <c r="F197" s="10">
        <v>24</v>
      </c>
      <c r="G197" s="10">
        <v>1</v>
      </c>
      <c r="H197" s="10">
        <v>7</v>
      </c>
      <c r="I197" s="10"/>
      <c r="J197" s="10"/>
      <c r="K197" s="6"/>
      <c r="L197" s="6"/>
      <c r="M197" s="6"/>
      <c r="N197" s="6"/>
      <c r="O197" s="6"/>
      <c r="P197" s="6"/>
      <c r="Q197" s="6"/>
      <c r="R197" s="6"/>
      <c r="S197" s="6">
        <v>19</v>
      </c>
      <c r="T197" s="6"/>
      <c r="U197" s="6"/>
      <c r="V197" s="6"/>
      <c r="W197" s="6"/>
      <c r="X197" s="6"/>
      <c r="Y197" s="6"/>
      <c r="Z197" s="6">
        <v>13</v>
      </c>
      <c r="AA197" s="6"/>
      <c r="AB197" s="6">
        <f>SUM(E197:AA197)</f>
        <v>100</v>
      </c>
      <c r="AC197" s="6">
        <v>280</v>
      </c>
      <c r="AD197" s="9">
        <f>SUM(AB197:AC197)</f>
        <v>380</v>
      </c>
      <c r="AE197" s="8">
        <f>AB197/AD197</f>
        <v>0.26315789473684209</v>
      </c>
      <c r="AF197" s="14">
        <v>648</v>
      </c>
      <c r="AG197" s="6">
        <v>0</v>
      </c>
      <c r="AH197" s="14">
        <v>5</v>
      </c>
      <c r="AI197" s="9">
        <f>AH197+AG197+AF197</f>
        <v>653</v>
      </c>
      <c r="AJ197" s="8">
        <f>(AG197+AH197)/AI197</f>
        <v>7.656967840735069E-3</v>
      </c>
      <c r="AK197" s="6">
        <f>SUM(E197:W197)</f>
        <v>87</v>
      </c>
    </row>
    <row r="198" spans="1:37" s="7" customFormat="1" ht="39" customHeight="1" x14ac:dyDescent="0.25">
      <c r="A198" s="13">
        <v>46151</v>
      </c>
      <c r="B198" s="21" t="s">
        <v>1</v>
      </c>
      <c r="C198" s="11" t="s">
        <v>16</v>
      </c>
      <c r="D198" s="11">
        <v>4</v>
      </c>
      <c r="E198" s="10">
        <v>65</v>
      </c>
      <c r="F198" s="10">
        <v>112</v>
      </c>
      <c r="G198" s="10">
        <v>17</v>
      </c>
      <c r="H198" s="10">
        <v>14</v>
      </c>
      <c r="I198" s="10"/>
      <c r="J198" s="10"/>
      <c r="K198" s="6"/>
      <c r="L198" s="6"/>
      <c r="M198" s="6"/>
      <c r="N198" s="6"/>
      <c r="O198" s="6"/>
      <c r="P198" s="6"/>
      <c r="Q198" s="6"/>
      <c r="R198" s="6">
        <v>25</v>
      </c>
      <c r="S198" s="6"/>
      <c r="T198" s="6"/>
      <c r="U198" s="6"/>
      <c r="V198" s="6"/>
      <c r="W198" s="6"/>
      <c r="X198" s="6"/>
      <c r="Y198" s="6"/>
      <c r="Z198" s="6">
        <f>11+7</f>
        <v>18</v>
      </c>
      <c r="AA198" s="6"/>
      <c r="AB198" s="6">
        <f>SUM(E198:AA198)</f>
        <v>251</v>
      </c>
      <c r="AC198" s="6">
        <v>223</v>
      </c>
      <c r="AD198" s="9">
        <f>SUM(AB198:AC198)</f>
        <v>474</v>
      </c>
      <c r="AE198" s="8">
        <f>AB198/AD198</f>
        <v>0.52953586497890293</v>
      </c>
      <c r="AF198" s="6">
        <v>590</v>
      </c>
      <c r="AG198" s="6">
        <v>0</v>
      </c>
      <c r="AH198" s="6">
        <v>10</v>
      </c>
      <c r="AI198" s="9">
        <f>AH198+AG198+AF198</f>
        <v>600</v>
      </c>
      <c r="AJ198" s="8">
        <f>(AG198+AH198)/AI198</f>
        <v>1.6666666666666666E-2</v>
      </c>
      <c r="AK198" s="6">
        <f>SUM(E198:W198)</f>
        <v>233</v>
      </c>
    </row>
    <row r="199" spans="1:37" s="7" customFormat="1" ht="39" customHeight="1" x14ac:dyDescent="0.25">
      <c r="A199" s="13">
        <v>46151</v>
      </c>
      <c r="B199" s="12" t="s">
        <v>1</v>
      </c>
      <c r="C199" s="11" t="s">
        <v>16</v>
      </c>
      <c r="D199" s="21">
        <v>5</v>
      </c>
      <c r="E199" s="6">
        <v>40</v>
      </c>
      <c r="F199" s="10">
        <v>99</v>
      </c>
      <c r="G199" s="10">
        <v>10</v>
      </c>
      <c r="H199" s="10">
        <v>31</v>
      </c>
      <c r="I199" s="10"/>
      <c r="J199" s="10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>
        <f>28+20</f>
        <v>48</v>
      </c>
      <c r="AA199" s="6"/>
      <c r="AB199" s="6">
        <f>SUM(E199:AA199)</f>
        <v>228</v>
      </c>
      <c r="AC199" s="6">
        <v>169</v>
      </c>
      <c r="AD199" s="9">
        <f>SUM(AB199:AC199)</f>
        <v>397</v>
      </c>
      <c r="AE199" s="8">
        <f>AB199/AD199</f>
        <v>0.5743073047858942</v>
      </c>
      <c r="AF199" s="14">
        <v>590</v>
      </c>
      <c r="AG199" s="6">
        <v>0</v>
      </c>
      <c r="AH199" s="14">
        <v>8</v>
      </c>
      <c r="AI199" s="9">
        <f>AH199+AG199+AF199</f>
        <v>598</v>
      </c>
      <c r="AJ199" s="8">
        <f>(AG199+AH199)/AI199</f>
        <v>1.3377926421404682E-2</v>
      </c>
      <c r="AK199" s="6">
        <f>SUM(E199:W199)</f>
        <v>180</v>
      </c>
    </row>
    <row r="200" spans="1:37" s="7" customFormat="1" ht="39" customHeight="1" x14ac:dyDescent="0.25">
      <c r="A200" s="13">
        <v>46151</v>
      </c>
      <c r="B200" s="21" t="s">
        <v>1</v>
      </c>
      <c r="C200" s="11" t="s">
        <v>15</v>
      </c>
      <c r="D200" s="11">
        <v>6</v>
      </c>
      <c r="E200" s="10">
        <v>63</v>
      </c>
      <c r="F200" s="10">
        <v>32</v>
      </c>
      <c r="G200" s="10">
        <f>7+8</f>
        <v>15</v>
      </c>
      <c r="H200" s="10">
        <v>47</v>
      </c>
      <c r="I200" s="10"/>
      <c r="J200" s="10">
        <v>11</v>
      </c>
      <c r="K200" s="6"/>
      <c r="L200" s="6"/>
      <c r="M200" s="6"/>
      <c r="N200" s="6"/>
      <c r="O200" s="6"/>
      <c r="P200" s="6"/>
      <c r="Q200" s="6"/>
      <c r="R200" s="6">
        <v>27</v>
      </c>
      <c r="S200" s="6"/>
      <c r="T200" s="6"/>
      <c r="U200" s="6"/>
      <c r="V200" s="6"/>
      <c r="W200" s="6"/>
      <c r="X200" s="6"/>
      <c r="Y200" s="6"/>
      <c r="Z200" s="6">
        <v>60</v>
      </c>
      <c r="AA200" s="6"/>
      <c r="AB200" s="6">
        <f>SUM(E200:AA200)</f>
        <v>255</v>
      </c>
      <c r="AC200" s="6">
        <v>256</v>
      </c>
      <c r="AD200" s="9">
        <f>SUM(AB200:AC200)</f>
        <v>511</v>
      </c>
      <c r="AE200" s="8">
        <f>AB200/AD200</f>
        <v>0.49902152641878667</v>
      </c>
      <c r="AF200" s="6">
        <v>523</v>
      </c>
      <c r="AG200" s="6">
        <v>0</v>
      </c>
      <c r="AH200" s="6">
        <v>20</v>
      </c>
      <c r="AI200" s="9">
        <f>AH200+AG200+AF200</f>
        <v>543</v>
      </c>
      <c r="AJ200" s="8">
        <f>(AG200+AH200)/AI200</f>
        <v>3.6832412523020261E-2</v>
      </c>
      <c r="AK200" s="6">
        <f>SUM(E200:W200)</f>
        <v>195</v>
      </c>
    </row>
    <row r="201" spans="1:37" s="7" customFormat="1" ht="39" customHeight="1" x14ac:dyDescent="0.25">
      <c r="A201" s="13">
        <v>46151</v>
      </c>
      <c r="B201" s="12" t="s">
        <v>1</v>
      </c>
      <c r="C201" s="11" t="s">
        <v>14</v>
      </c>
      <c r="D201" s="11">
        <v>7</v>
      </c>
      <c r="E201" s="6">
        <v>27</v>
      </c>
      <c r="F201" s="10">
        <v>20</v>
      </c>
      <c r="G201" s="10">
        <v>10</v>
      </c>
      <c r="H201" s="10">
        <v>20</v>
      </c>
      <c r="I201" s="10"/>
      <c r="J201" s="10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>
        <v>10</v>
      </c>
      <c r="AA201" s="6"/>
      <c r="AB201" s="6">
        <f>SUM(E201:AA201)</f>
        <v>87</v>
      </c>
      <c r="AC201" s="6">
        <v>719</v>
      </c>
      <c r="AD201" s="9">
        <f>SUM(AB201:AC201)</f>
        <v>806</v>
      </c>
      <c r="AE201" s="8">
        <f>AB201/AD201</f>
        <v>0.10794044665012408</v>
      </c>
      <c r="AF201" s="14">
        <v>571</v>
      </c>
      <c r="AG201" s="6">
        <v>4</v>
      </c>
      <c r="AH201" s="14">
        <v>8</v>
      </c>
      <c r="AI201" s="9">
        <f>AH201+AG201+AF201</f>
        <v>583</v>
      </c>
      <c r="AJ201" s="8">
        <f>(AG201+AH201)/AI201</f>
        <v>2.0583190394511151E-2</v>
      </c>
      <c r="AK201" s="6">
        <f>SUM(E201:W201)</f>
        <v>77</v>
      </c>
    </row>
    <row r="202" spans="1:37" s="7" customFormat="1" ht="39" customHeight="1" x14ac:dyDescent="0.25">
      <c r="A202" s="13">
        <v>46151</v>
      </c>
      <c r="B202" s="12" t="s">
        <v>1</v>
      </c>
      <c r="C202" s="11" t="s">
        <v>13</v>
      </c>
      <c r="D202" s="11">
        <v>8</v>
      </c>
      <c r="E202" s="6">
        <v>173</v>
      </c>
      <c r="F202" s="10">
        <v>148</v>
      </c>
      <c r="G202" s="10">
        <f>19+35</f>
        <v>54</v>
      </c>
      <c r="H202" s="10">
        <v>52</v>
      </c>
      <c r="I202" s="10"/>
      <c r="J202" s="10"/>
      <c r="K202" s="6"/>
      <c r="L202" s="6"/>
      <c r="M202" s="6"/>
      <c r="N202" s="6"/>
      <c r="O202" s="6"/>
      <c r="P202" s="6"/>
      <c r="Q202" s="6"/>
      <c r="R202" s="6">
        <v>90</v>
      </c>
      <c r="S202" s="6"/>
      <c r="T202" s="6"/>
      <c r="U202" s="6"/>
      <c r="V202" s="6"/>
      <c r="W202" s="6"/>
      <c r="X202" s="6"/>
      <c r="Y202" s="6"/>
      <c r="Z202" s="6">
        <v>85</v>
      </c>
      <c r="AA202" s="6"/>
      <c r="AB202" s="6">
        <f>SUM(E202:AA202)</f>
        <v>602</v>
      </c>
      <c r="AC202" s="6">
        <v>554</v>
      </c>
      <c r="AD202" s="9">
        <f>SUM(AB202:AC202)</f>
        <v>1156</v>
      </c>
      <c r="AE202" s="8">
        <f>AB202/AD202</f>
        <v>0.52076124567474047</v>
      </c>
      <c r="AF202" s="6">
        <v>580</v>
      </c>
      <c r="AG202" s="6">
        <v>0</v>
      </c>
      <c r="AH202" s="6">
        <v>11</v>
      </c>
      <c r="AI202" s="9">
        <f>AH202+AG202+AF202</f>
        <v>591</v>
      </c>
      <c r="AJ202" s="8">
        <f>(AG202+AH202)/AI202</f>
        <v>1.8612521150592216E-2</v>
      </c>
      <c r="AK202" s="6">
        <f>SUM(E202:W202)</f>
        <v>517</v>
      </c>
    </row>
    <row r="203" spans="1:37" s="7" customFormat="1" ht="39" customHeight="1" x14ac:dyDescent="0.25">
      <c r="A203" s="13">
        <v>46151</v>
      </c>
      <c r="B203" s="21" t="s">
        <v>1</v>
      </c>
      <c r="C203" s="11" t="s">
        <v>12</v>
      </c>
      <c r="D203" s="11">
        <v>9</v>
      </c>
      <c r="E203" s="10">
        <v>126</v>
      </c>
      <c r="F203" s="10">
        <v>71</v>
      </c>
      <c r="G203" s="10">
        <v>20</v>
      </c>
      <c r="H203" s="10"/>
      <c r="I203" s="10"/>
      <c r="J203" s="10">
        <v>82</v>
      </c>
      <c r="K203" s="6"/>
      <c r="L203" s="6">
        <v>30</v>
      </c>
      <c r="M203" s="6"/>
      <c r="N203" s="6"/>
      <c r="O203" s="6"/>
      <c r="P203" s="6"/>
      <c r="Q203" s="6"/>
      <c r="R203" s="6">
        <v>94</v>
      </c>
      <c r="S203" s="6"/>
      <c r="T203" s="6"/>
      <c r="U203" s="6"/>
      <c r="V203" s="6"/>
      <c r="W203" s="6"/>
      <c r="X203" s="6"/>
      <c r="Y203" s="6"/>
      <c r="Z203" s="6"/>
      <c r="AA203" s="6"/>
      <c r="AB203" s="6">
        <f>SUM(E203:AA203)</f>
        <v>423</v>
      </c>
      <c r="AC203" s="6">
        <v>730</v>
      </c>
      <c r="AD203" s="9">
        <f>SUM(AB203:AC203)</f>
        <v>1153</v>
      </c>
      <c r="AE203" s="8">
        <f>AB203/AD203</f>
        <v>0.3668690372940156</v>
      </c>
      <c r="AF203" s="14">
        <v>657</v>
      </c>
      <c r="AG203" s="6">
        <v>12</v>
      </c>
      <c r="AH203" s="14">
        <v>10</v>
      </c>
      <c r="AI203" s="9">
        <f>AH203+AG203+AF203</f>
        <v>679</v>
      </c>
      <c r="AJ203" s="8">
        <f>(AG203+AH203)/AI203</f>
        <v>3.2400589101620032E-2</v>
      </c>
      <c r="AK203" s="6">
        <f>SUM(E203:W203)</f>
        <v>423</v>
      </c>
    </row>
    <row r="204" spans="1:37" s="7" customFormat="1" ht="39" customHeight="1" x14ac:dyDescent="0.25">
      <c r="A204" s="13">
        <v>46151</v>
      </c>
      <c r="B204" s="12" t="s">
        <v>1</v>
      </c>
      <c r="C204" s="11" t="s">
        <v>0</v>
      </c>
      <c r="D204" s="11">
        <v>10</v>
      </c>
      <c r="E204" s="10">
        <v>70</v>
      </c>
      <c r="F204" s="10">
        <v>56</v>
      </c>
      <c r="G204" s="10">
        <v>5</v>
      </c>
      <c r="H204" s="10">
        <v>30</v>
      </c>
      <c r="I204" s="10"/>
      <c r="J204" s="10"/>
      <c r="K204" s="6"/>
      <c r="L204" s="6">
        <v>11</v>
      </c>
      <c r="M204" s="6"/>
      <c r="N204" s="6"/>
      <c r="O204" s="6"/>
      <c r="P204" s="6"/>
      <c r="Q204" s="6"/>
      <c r="R204" s="6">
        <v>15</v>
      </c>
      <c r="S204" s="6"/>
      <c r="T204" s="6"/>
      <c r="U204" s="6"/>
      <c r="V204" s="6"/>
      <c r="W204" s="6"/>
      <c r="X204" s="6"/>
      <c r="Y204" s="6"/>
      <c r="Z204" s="6">
        <v>10</v>
      </c>
      <c r="AA204" s="6"/>
      <c r="AB204" s="6">
        <f>SUM(E204:AA204)</f>
        <v>197</v>
      </c>
      <c r="AC204" s="6">
        <v>167</v>
      </c>
      <c r="AD204" s="9">
        <f>SUM(AB204:AC204)</f>
        <v>364</v>
      </c>
      <c r="AE204" s="8">
        <f>AB204/AD204</f>
        <v>0.54120879120879117</v>
      </c>
      <c r="AF204" s="6">
        <v>359</v>
      </c>
      <c r="AG204" s="6">
        <v>6</v>
      </c>
      <c r="AH204" s="6">
        <v>9</v>
      </c>
      <c r="AI204" s="9">
        <f>AH204+AG204+AF204</f>
        <v>374</v>
      </c>
      <c r="AJ204" s="8">
        <f>(AG204+AH204)/AI204</f>
        <v>4.0106951871657755E-2</v>
      </c>
      <c r="AK204" s="6">
        <f>SUM(E204:W204)</f>
        <v>187</v>
      </c>
    </row>
    <row r="205" spans="1:37" s="7" customFormat="1" ht="39" customHeight="1" x14ac:dyDescent="0.25">
      <c r="A205" s="13">
        <v>46151</v>
      </c>
      <c r="B205" s="12" t="s">
        <v>1</v>
      </c>
      <c r="C205" s="11" t="s">
        <v>10</v>
      </c>
      <c r="D205" s="11">
        <v>11</v>
      </c>
      <c r="E205" s="10">
        <v>176</v>
      </c>
      <c r="F205" s="10">
        <v>170</v>
      </c>
      <c r="G205" s="10">
        <v>30</v>
      </c>
      <c r="H205" s="10">
        <v>104</v>
      </c>
      <c r="I205" s="10"/>
      <c r="J205" s="10"/>
      <c r="K205" s="6"/>
      <c r="L205" s="6"/>
      <c r="M205" s="6"/>
      <c r="N205" s="6"/>
      <c r="O205" s="6"/>
      <c r="P205" s="6"/>
      <c r="Q205" s="6"/>
      <c r="R205" s="6">
        <v>110</v>
      </c>
      <c r="S205" s="6"/>
      <c r="T205" s="6"/>
      <c r="U205" s="6"/>
      <c r="V205" s="6"/>
      <c r="W205" s="6"/>
      <c r="X205" s="6"/>
      <c r="Y205" s="6"/>
      <c r="Z205" s="6">
        <v>362</v>
      </c>
      <c r="AA205" s="6"/>
      <c r="AB205" s="6">
        <f>SUM(E205:AA205)</f>
        <v>952</v>
      </c>
      <c r="AC205" s="6">
        <v>214</v>
      </c>
      <c r="AD205" s="9">
        <f>SUM(AB205:AC205)</f>
        <v>1166</v>
      </c>
      <c r="AE205" s="8">
        <f>AB205/AD205</f>
        <v>0.81646655231560894</v>
      </c>
      <c r="AF205" s="6">
        <v>454</v>
      </c>
      <c r="AG205" s="6">
        <v>0</v>
      </c>
      <c r="AH205" s="6">
        <v>1</v>
      </c>
      <c r="AI205" s="9">
        <f>AH205+AG205+AF205</f>
        <v>455</v>
      </c>
      <c r="AJ205" s="8">
        <f>(AG205+AH205)/AI205</f>
        <v>2.1978021978021978E-3</v>
      </c>
      <c r="AK205" s="6">
        <f>SUM(E205:W205)</f>
        <v>590</v>
      </c>
    </row>
    <row r="206" spans="1:37" s="7" customFormat="1" ht="39" customHeight="1" x14ac:dyDescent="0.25">
      <c r="A206" s="13">
        <v>46151</v>
      </c>
      <c r="B206" s="21" t="s">
        <v>1</v>
      </c>
      <c r="C206" s="11" t="s">
        <v>18</v>
      </c>
      <c r="D206" s="11">
        <v>13</v>
      </c>
      <c r="E206" s="10">
        <v>45</v>
      </c>
      <c r="F206" s="10">
        <v>29</v>
      </c>
      <c r="G206" s="10">
        <v>15</v>
      </c>
      <c r="H206" s="10">
        <v>12</v>
      </c>
      <c r="I206" s="10"/>
      <c r="J206" s="10"/>
      <c r="K206" s="6"/>
      <c r="L206" s="6"/>
      <c r="M206" s="6"/>
      <c r="N206" s="6"/>
      <c r="O206" s="6"/>
      <c r="P206" s="6"/>
      <c r="Q206" s="6"/>
      <c r="R206" s="6">
        <v>23</v>
      </c>
      <c r="S206" s="6"/>
      <c r="T206" s="6"/>
      <c r="U206" s="6"/>
      <c r="V206" s="6"/>
      <c r="W206" s="6"/>
      <c r="X206" s="6"/>
      <c r="Y206" s="6"/>
      <c r="Z206" s="6">
        <v>17</v>
      </c>
      <c r="AA206" s="6"/>
      <c r="AB206" s="6">
        <f>SUM(E206:AA206)</f>
        <v>141</v>
      </c>
      <c r="AC206" s="6">
        <v>113</v>
      </c>
      <c r="AD206" s="9">
        <f>SUM(AB206:AC206)</f>
        <v>254</v>
      </c>
      <c r="AE206" s="8">
        <f>AB206/AD206</f>
        <v>0.55511811023622049</v>
      </c>
      <c r="AF206" s="6">
        <v>522</v>
      </c>
      <c r="AG206" s="6">
        <v>0</v>
      </c>
      <c r="AH206" s="6">
        <v>20</v>
      </c>
      <c r="AI206" s="9">
        <f>AH206+AG206+AF206</f>
        <v>542</v>
      </c>
      <c r="AJ206" s="8">
        <f>(AG206+AH206)/AI206</f>
        <v>3.6900369003690037E-2</v>
      </c>
      <c r="AK206" s="6">
        <f>SUM(E206:W206)</f>
        <v>124</v>
      </c>
    </row>
    <row r="207" spans="1:37" s="7" customFormat="1" ht="39" customHeight="1" x14ac:dyDescent="0.25">
      <c r="A207" s="13">
        <v>46151</v>
      </c>
      <c r="B207" s="21" t="s">
        <v>1</v>
      </c>
      <c r="C207" s="11" t="s">
        <v>8</v>
      </c>
      <c r="D207" s="11">
        <v>14</v>
      </c>
      <c r="E207" s="10">
        <v>35</v>
      </c>
      <c r="F207" s="10"/>
      <c r="G207" s="10">
        <v>100</v>
      </c>
      <c r="H207" s="10">
        <v>10</v>
      </c>
      <c r="I207" s="10"/>
      <c r="J207" s="10"/>
      <c r="K207" s="6"/>
      <c r="L207" s="6">
        <v>20</v>
      </c>
      <c r="M207" s="6"/>
      <c r="N207" s="6">
        <v>10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>
        <v>29</v>
      </c>
      <c r="AA207" s="6"/>
      <c r="AB207" s="6">
        <f>SUM(E207:AA207)</f>
        <v>204</v>
      </c>
      <c r="AC207" s="6">
        <v>140</v>
      </c>
      <c r="AD207" s="9">
        <f>SUM(AB207:AC207)</f>
        <v>344</v>
      </c>
      <c r="AE207" s="8">
        <f>AB207/AD207</f>
        <v>0.59302325581395354</v>
      </c>
      <c r="AF207" s="14">
        <v>355</v>
      </c>
      <c r="AG207" s="6">
        <v>0</v>
      </c>
      <c r="AH207" s="14">
        <v>14</v>
      </c>
      <c r="AI207" s="9">
        <f>AH207+AG207+AF207</f>
        <v>369</v>
      </c>
      <c r="AJ207" s="8">
        <f>(AG207+AH207)/AI207</f>
        <v>3.7940379403794036E-2</v>
      </c>
      <c r="AK207" s="6">
        <f>SUM(E207:W207)</f>
        <v>175</v>
      </c>
    </row>
    <row r="208" spans="1:37" s="7" customFormat="1" ht="39" customHeight="1" x14ac:dyDescent="0.25">
      <c r="A208" s="13">
        <v>46151</v>
      </c>
      <c r="B208" s="12" t="s">
        <v>1</v>
      </c>
      <c r="C208" s="11" t="s">
        <v>7</v>
      </c>
      <c r="D208" s="11">
        <v>15</v>
      </c>
      <c r="E208" s="6">
        <v>40</v>
      </c>
      <c r="F208" s="10">
        <v>19</v>
      </c>
      <c r="G208" s="10">
        <v>33</v>
      </c>
      <c r="H208" s="10">
        <v>11</v>
      </c>
      <c r="I208" s="10">
        <v>20</v>
      </c>
      <c r="J208" s="10">
        <v>10</v>
      </c>
      <c r="K208" s="6"/>
      <c r="L208" s="6"/>
      <c r="M208" s="6"/>
      <c r="N208" s="6">
        <v>4</v>
      </c>
      <c r="O208" s="6"/>
      <c r="P208" s="6"/>
      <c r="Q208" s="6"/>
      <c r="R208" s="6"/>
      <c r="S208" s="6"/>
      <c r="T208" s="6"/>
      <c r="U208" s="6"/>
      <c r="V208" s="6">
        <v>8</v>
      </c>
      <c r="W208" s="6"/>
      <c r="X208" s="6"/>
      <c r="Y208" s="6"/>
      <c r="Z208" s="6">
        <v>20</v>
      </c>
      <c r="AA208" s="6"/>
      <c r="AB208" s="6">
        <f>SUM(E208:AA208)</f>
        <v>165</v>
      </c>
      <c r="AC208" s="6">
        <v>89</v>
      </c>
      <c r="AD208" s="9">
        <f>SUM(AB208:AC208)</f>
        <v>254</v>
      </c>
      <c r="AE208" s="8">
        <f>AB208/AD208</f>
        <v>0.64960629921259838</v>
      </c>
      <c r="AF208" s="6">
        <v>350</v>
      </c>
      <c r="AG208" s="6">
        <v>0</v>
      </c>
      <c r="AH208" s="6">
        <v>7</v>
      </c>
      <c r="AI208" s="9">
        <f>AH208+AG208+AF208</f>
        <v>357</v>
      </c>
      <c r="AJ208" s="8">
        <f>(AG208+AH208)/AI208</f>
        <v>1.9607843137254902E-2</v>
      </c>
      <c r="AK208" s="6">
        <f>SUM(E208:W208)</f>
        <v>145</v>
      </c>
    </row>
    <row r="209" spans="1:37" s="7" customFormat="1" ht="39" customHeight="1" x14ac:dyDescent="0.25">
      <c r="A209" s="13">
        <v>46151</v>
      </c>
      <c r="B209" s="21" t="s">
        <v>1</v>
      </c>
      <c r="C209" s="11" t="s">
        <v>10</v>
      </c>
      <c r="D209" s="11">
        <v>16</v>
      </c>
      <c r="E209" s="10">
        <v>90</v>
      </c>
      <c r="F209" s="10">
        <v>231</v>
      </c>
      <c r="G209" s="10">
        <v>74</v>
      </c>
      <c r="H209" s="10">
        <v>131</v>
      </c>
      <c r="I209" s="10"/>
      <c r="J209" s="10">
        <v>25</v>
      </c>
      <c r="K209" s="6"/>
      <c r="L209" s="6"/>
      <c r="M209" s="6"/>
      <c r="N209" s="6"/>
      <c r="O209" s="6"/>
      <c r="P209" s="6"/>
      <c r="Q209" s="6"/>
      <c r="R209" s="6">
        <v>118</v>
      </c>
      <c r="S209" s="6"/>
      <c r="T209" s="6"/>
      <c r="U209" s="6"/>
      <c r="V209" s="6"/>
      <c r="W209" s="6"/>
      <c r="X209" s="6"/>
      <c r="Y209" s="6"/>
      <c r="Z209" s="6">
        <v>40</v>
      </c>
      <c r="AA209" s="6"/>
      <c r="AB209" s="6">
        <f>SUM(E209:AA209)</f>
        <v>709</v>
      </c>
      <c r="AC209" s="6">
        <v>322</v>
      </c>
      <c r="AD209" s="9">
        <f>SUM(AB209:AC209)</f>
        <v>1031</v>
      </c>
      <c r="AE209" s="8">
        <f>AB209/AD209</f>
        <v>0.68768186226964112</v>
      </c>
      <c r="AF209" s="6">
        <v>275</v>
      </c>
      <c r="AG209" s="6">
        <v>0</v>
      </c>
      <c r="AH209" s="6">
        <v>15</v>
      </c>
      <c r="AI209" s="9">
        <f>AH209+AG209+AF209</f>
        <v>290</v>
      </c>
      <c r="AJ209" s="8">
        <f>(AG209+AH209)/AI209</f>
        <v>5.1724137931034482E-2</v>
      </c>
      <c r="AK209" s="6">
        <f>SUM(E209:W209)</f>
        <v>669</v>
      </c>
    </row>
    <row r="210" spans="1:37" s="7" customFormat="1" ht="39" customHeight="1" x14ac:dyDescent="0.25">
      <c r="A210" s="13">
        <v>46151</v>
      </c>
      <c r="B210" s="21" t="s">
        <v>1</v>
      </c>
      <c r="C210" s="11" t="s">
        <v>12</v>
      </c>
      <c r="D210" s="11">
        <v>17</v>
      </c>
      <c r="E210" s="10">
        <v>23</v>
      </c>
      <c r="F210" s="10">
        <v>33</v>
      </c>
      <c r="G210" s="10">
        <v>49</v>
      </c>
      <c r="H210" s="10"/>
      <c r="I210" s="10"/>
      <c r="J210" s="10">
        <v>13</v>
      </c>
      <c r="K210" s="6"/>
      <c r="L210" s="6"/>
      <c r="M210" s="6"/>
      <c r="N210" s="6"/>
      <c r="O210" s="6"/>
      <c r="P210" s="6"/>
      <c r="Q210" s="6"/>
      <c r="R210" s="6">
        <v>44</v>
      </c>
      <c r="S210" s="6"/>
      <c r="T210" s="6"/>
      <c r="U210" s="6"/>
      <c r="V210" s="6"/>
      <c r="W210" s="6"/>
      <c r="X210" s="6"/>
      <c r="Y210" s="6"/>
      <c r="Z210" s="6">
        <v>42</v>
      </c>
      <c r="AA210" s="6"/>
      <c r="AB210" s="6">
        <f>SUM(E210:AA210)</f>
        <v>204</v>
      </c>
      <c r="AC210" s="6">
        <v>534</v>
      </c>
      <c r="AD210" s="9">
        <f>SUM(AB210:AC210)</f>
        <v>738</v>
      </c>
      <c r="AE210" s="8">
        <f>AB210/AD210</f>
        <v>0.27642276422764228</v>
      </c>
      <c r="AF210" s="6">
        <v>460</v>
      </c>
      <c r="AG210" s="6">
        <v>0</v>
      </c>
      <c r="AH210" s="6">
        <v>19</v>
      </c>
      <c r="AI210" s="9">
        <f>AH210+AG210+AF210</f>
        <v>479</v>
      </c>
      <c r="AJ210" s="8">
        <f>(AG210+AH210)/AI210</f>
        <v>3.9665970772442591E-2</v>
      </c>
      <c r="AK210" s="6">
        <f>SUM(E210:W210)</f>
        <v>162</v>
      </c>
    </row>
    <row r="211" spans="1:37" s="7" customFormat="1" ht="39" customHeight="1" x14ac:dyDescent="0.25">
      <c r="A211" s="13">
        <v>46151</v>
      </c>
      <c r="B211" s="21" t="s">
        <v>1</v>
      </c>
      <c r="C211" s="21" t="s">
        <v>6</v>
      </c>
      <c r="D211" s="21">
        <v>18</v>
      </c>
      <c r="E211" s="10">
        <v>46</v>
      </c>
      <c r="F211" s="10">
        <v>5</v>
      </c>
      <c r="G211" s="10"/>
      <c r="H211" s="10"/>
      <c r="I211" s="10"/>
      <c r="J211" s="10">
        <v>10</v>
      </c>
      <c r="K211" s="6"/>
      <c r="L211" s="6"/>
      <c r="M211" s="6"/>
      <c r="N211" s="6">
        <v>20</v>
      </c>
      <c r="O211" s="6"/>
      <c r="P211" s="6"/>
      <c r="Q211" s="6"/>
      <c r="R211" s="6">
        <v>10</v>
      </c>
      <c r="S211" s="6"/>
      <c r="T211" s="6"/>
      <c r="U211" s="6"/>
      <c r="V211" s="6"/>
      <c r="W211" s="6"/>
      <c r="X211" s="6"/>
      <c r="Y211" s="6"/>
      <c r="Z211" s="6">
        <v>35</v>
      </c>
      <c r="AA211" s="6"/>
      <c r="AB211" s="6">
        <f>SUM(E211:AA211)</f>
        <v>126</v>
      </c>
      <c r="AC211" s="6">
        <v>413</v>
      </c>
      <c r="AD211" s="9">
        <f>SUM(AB211:AC211)</f>
        <v>539</v>
      </c>
      <c r="AE211" s="8">
        <f>AB211/AD211</f>
        <v>0.23376623376623376</v>
      </c>
      <c r="AF211" s="14">
        <v>205</v>
      </c>
      <c r="AG211" s="6">
        <v>0</v>
      </c>
      <c r="AH211" s="14">
        <v>5</v>
      </c>
      <c r="AI211" s="9">
        <f>AH211+AG211+AF211</f>
        <v>210</v>
      </c>
      <c r="AJ211" s="8">
        <f>(AG211+AH211)/AI211</f>
        <v>2.3809523809523808E-2</v>
      </c>
      <c r="AK211" s="6">
        <f>SUM(E211:W211)</f>
        <v>91</v>
      </c>
    </row>
    <row r="212" spans="1:37" s="7" customFormat="1" ht="39" customHeight="1" x14ac:dyDescent="0.25">
      <c r="A212" s="13">
        <v>46151</v>
      </c>
      <c r="B212" s="21" t="s">
        <v>1</v>
      </c>
      <c r="C212" s="11" t="s">
        <v>2</v>
      </c>
      <c r="D212" s="11">
        <v>19</v>
      </c>
      <c r="E212" s="10">
        <v>18</v>
      </c>
      <c r="F212" s="10"/>
      <c r="G212" s="10"/>
      <c r="H212" s="10"/>
      <c r="I212" s="10">
        <v>14</v>
      </c>
      <c r="J212" s="10"/>
      <c r="K212" s="6"/>
      <c r="L212" s="6"/>
      <c r="M212" s="6"/>
      <c r="N212" s="6"/>
      <c r="O212" s="6"/>
      <c r="P212" s="6"/>
      <c r="Q212" s="6"/>
      <c r="R212" s="6">
        <v>23</v>
      </c>
      <c r="S212" s="6"/>
      <c r="T212" s="6"/>
      <c r="U212" s="6"/>
      <c r="V212" s="6"/>
      <c r="W212" s="6"/>
      <c r="X212" s="6"/>
      <c r="Y212" s="6"/>
      <c r="Z212" s="6">
        <v>28</v>
      </c>
      <c r="AA212" s="6"/>
      <c r="AB212" s="6">
        <f>SUM(E212:AA212)</f>
        <v>83</v>
      </c>
      <c r="AC212" s="6">
        <v>36</v>
      </c>
      <c r="AD212" s="9">
        <f>SUM(AB212:AC212)</f>
        <v>119</v>
      </c>
      <c r="AE212" s="8">
        <f>AB212/AD212</f>
        <v>0.69747899159663862</v>
      </c>
      <c r="AF212" s="14">
        <v>375</v>
      </c>
      <c r="AG212" s="6">
        <v>0</v>
      </c>
      <c r="AH212" s="14">
        <v>5</v>
      </c>
      <c r="AI212" s="9">
        <f>AH212+AG212+AF212</f>
        <v>380</v>
      </c>
      <c r="AJ212" s="8">
        <f>(AG212+AH212)/AI212</f>
        <v>1.3157894736842105E-2</v>
      </c>
      <c r="AK212" s="6">
        <f>SUM(E212:W212)</f>
        <v>55</v>
      </c>
    </row>
    <row r="213" spans="1:37" s="7" customFormat="1" ht="39" customHeight="1" x14ac:dyDescent="0.25">
      <c r="A213" s="13">
        <v>46151</v>
      </c>
      <c r="B213" s="21" t="s">
        <v>1</v>
      </c>
      <c r="C213" s="11" t="s">
        <v>9</v>
      </c>
      <c r="D213" s="11">
        <v>20</v>
      </c>
      <c r="E213" s="10">
        <v>10</v>
      </c>
      <c r="F213" s="10">
        <v>40</v>
      </c>
      <c r="G213" s="10">
        <v>10</v>
      </c>
      <c r="H213" s="10">
        <v>15</v>
      </c>
      <c r="I213" s="10">
        <v>45</v>
      </c>
      <c r="J213" s="10"/>
      <c r="K213" s="6"/>
      <c r="L213" s="6"/>
      <c r="M213" s="6"/>
      <c r="N213" s="6">
        <v>10</v>
      </c>
      <c r="O213" s="6"/>
      <c r="P213" s="6"/>
      <c r="Q213" s="6"/>
      <c r="R213" s="6">
        <v>18</v>
      </c>
      <c r="S213" s="6"/>
      <c r="T213" s="6"/>
      <c r="U213" s="6"/>
      <c r="V213" s="6"/>
      <c r="W213" s="6"/>
      <c r="X213" s="6"/>
      <c r="Y213" s="6"/>
      <c r="Z213" s="6">
        <v>30</v>
      </c>
      <c r="AA213" s="6"/>
      <c r="AB213" s="6">
        <f>SUM(E213:AA213)</f>
        <v>178</v>
      </c>
      <c r="AC213" s="6">
        <v>206</v>
      </c>
      <c r="AD213" s="9">
        <f>SUM(AB213:AC213)</f>
        <v>384</v>
      </c>
      <c r="AE213" s="8">
        <f>AB213/AD213</f>
        <v>0.46354166666666669</v>
      </c>
      <c r="AF213" s="6">
        <v>280</v>
      </c>
      <c r="AG213" s="6">
        <v>0</v>
      </c>
      <c r="AH213" s="6">
        <v>2</v>
      </c>
      <c r="AI213" s="9">
        <f>AH213+AG213+AF213</f>
        <v>282</v>
      </c>
      <c r="AJ213" s="8">
        <f>(AG213+AH213)/AI213</f>
        <v>7.0921985815602835E-3</v>
      </c>
      <c r="AK213" s="6">
        <f>SUM(E213:W213)</f>
        <v>148</v>
      </c>
    </row>
    <row r="214" spans="1:37" s="7" customFormat="1" ht="39" customHeight="1" x14ac:dyDescent="0.25">
      <c r="A214" s="13">
        <v>46151</v>
      </c>
      <c r="B214" s="21" t="s">
        <v>1</v>
      </c>
      <c r="C214" s="11" t="s">
        <v>23</v>
      </c>
      <c r="D214" s="11">
        <v>21</v>
      </c>
      <c r="E214" s="6">
        <v>59</v>
      </c>
      <c r="F214" s="10"/>
      <c r="G214" s="10">
        <v>10</v>
      </c>
      <c r="H214" s="10">
        <v>30</v>
      </c>
      <c r="I214" s="10"/>
      <c r="J214" s="10"/>
      <c r="K214" s="6">
        <v>25</v>
      </c>
      <c r="L214" s="6"/>
      <c r="M214" s="6">
        <v>15</v>
      </c>
      <c r="N214" s="6"/>
      <c r="O214" s="6"/>
      <c r="P214" s="6"/>
      <c r="Q214" s="6"/>
      <c r="R214" s="6">
        <v>71</v>
      </c>
      <c r="S214" s="6"/>
      <c r="T214" s="6"/>
      <c r="U214" s="6"/>
      <c r="V214" s="6"/>
      <c r="W214" s="6"/>
      <c r="X214" s="6"/>
      <c r="Y214" s="6"/>
      <c r="Z214" s="6">
        <v>25</v>
      </c>
      <c r="AA214" s="6"/>
      <c r="AB214" s="6">
        <f>SUM(E214:AA214)</f>
        <v>235</v>
      </c>
      <c r="AC214" s="6">
        <v>186</v>
      </c>
      <c r="AD214" s="9">
        <f>SUM(AB214:AC214)</f>
        <v>421</v>
      </c>
      <c r="AE214" s="8">
        <f>AB214/AD214</f>
        <v>0.55819477434679332</v>
      </c>
      <c r="AF214" s="14">
        <v>540</v>
      </c>
      <c r="AG214" s="6">
        <v>0</v>
      </c>
      <c r="AH214" s="14">
        <v>7</v>
      </c>
      <c r="AI214" s="9">
        <f>AH214+AG214+AF214</f>
        <v>547</v>
      </c>
      <c r="AJ214" s="8">
        <f>(AG214+AH214)/AI214</f>
        <v>1.2797074954296161E-2</v>
      </c>
      <c r="AK214" s="6">
        <f>SUM(E214:W214)</f>
        <v>210</v>
      </c>
    </row>
    <row r="215" spans="1:37" s="7" customFormat="1" ht="39" customHeight="1" x14ac:dyDescent="0.25">
      <c r="A215" s="13">
        <v>46151</v>
      </c>
      <c r="B215" s="21" t="s">
        <v>1</v>
      </c>
      <c r="C215" s="11" t="s">
        <v>8</v>
      </c>
      <c r="D215" s="11">
        <v>22</v>
      </c>
      <c r="E215" s="21">
        <v>16</v>
      </c>
      <c r="F215" s="21">
        <v>12</v>
      </c>
      <c r="G215" s="21">
        <v>6</v>
      </c>
      <c r="H215" s="21">
        <v>23</v>
      </c>
      <c r="I215" s="21">
        <v>10</v>
      </c>
      <c r="J215" s="21">
        <v>7</v>
      </c>
      <c r="K215" s="21"/>
      <c r="L215" s="6">
        <v>3</v>
      </c>
      <c r="M215" s="21"/>
      <c r="N215" s="21"/>
      <c r="O215" s="21"/>
      <c r="P215" s="21"/>
      <c r="Q215" s="21"/>
      <c r="R215" s="6">
        <v>28</v>
      </c>
      <c r="S215" s="6"/>
      <c r="T215" s="6"/>
      <c r="U215" s="21"/>
      <c r="V215" s="21">
        <v>5</v>
      </c>
      <c r="W215" s="6"/>
      <c r="X215" s="6">
        <v>10</v>
      </c>
      <c r="Y215" s="6"/>
      <c r="Z215" s="6">
        <v>3</v>
      </c>
      <c r="AA215" s="6"/>
      <c r="AB215" s="6">
        <f>SUM(E215:AA215)</f>
        <v>123</v>
      </c>
      <c r="AC215" s="22">
        <v>209</v>
      </c>
      <c r="AD215" s="9">
        <f>SUM(AB215:AC215)</f>
        <v>332</v>
      </c>
      <c r="AE215" s="8">
        <f>AB215/AD215</f>
        <v>0.37048192771084337</v>
      </c>
      <c r="AF215" s="6">
        <v>174</v>
      </c>
      <c r="AG215" s="6">
        <v>0</v>
      </c>
      <c r="AH215" s="6">
        <v>7</v>
      </c>
      <c r="AI215" s="9">
        <f>AH215+AG215+AF215</f>
        <v>181</v>
      </c>
      <c r="AJ215" s="8">
        <f>(AG215+AH215)/AI215</f>
        <v>3.8674033149171269E-2</v>
      </c>
      <c r="AK215" s="6">
        <f>SUM(E215:W215)</f>
        <v>110</v>
      </c>
    </row>
    <row r="216" spans="1:37" s="7" customFormat="1" ht="39" customHeight="1" x14ac:dyDescent="0.25">
      <c r="A216" s="13">
        <v>46151</v>
      </c>
      <c r="B216" s="21" t="s">
        <v>1</v>
      </c>
      <c r="C216" s="11" t="s">
        <v>10</v>
      </c>
      <c r="D216" s="11">
        <v>23</v>
      </c>
      <c r="E216" s="10">
        <v>10</v>
      </c>
      <c r="F216" s="10">
        <v>63</v>
      </c>
      <c r="G216" s="10">
        <v>10</v>
      </c>
      <c r="H216" s="10">
        <v>45</v>
      </c>
      <c r="I216" s="10">
        <v>15</v>
      </c>
      <c r="J216" s="10"/>
      <c r="K216" s="6"/>
      <c r="L216" s="6"/>
      <c r="M216" s="6"/>
      <c r="N216" s="6"/>
      <c r="O216" s="6"/>
      <c r="P216" s="6"/>
      <c r="Q216" s="6"/>
      <c r="R216" s="6">
        <v>10</v>
      </c>
      <c r="S216" s="6"/>
      <c r="T216" s="6"/>
      <c r="U216" s="6"/>
      <c r="V216" s="6"/>
      <c r="W216" s="6"/>
      <c r="X216" s="6"/>
      <c r="Y216" s="6"/>
      <c r="Z216" s="6">
        <v>47</v>
      </c>
      <c r="AA216" s="6"/>
      <c r="AB216" s="6">
        <f>SUM(E216:AA216)</f>
        <v>200</v>
      </c>
      <c r="AC216" s="6">
        <v>98</v>
      </c>
      <c r="AD216" s="9">
        <f>SUM(AB216:AC216)</f>
        <v>298</v>
      </c>
      <c r="AE216" s="8">
        <f>AB216/AD216</f>
        <v>0.67114093959731547</v>
      </c>
      <c r="AF216" s="6">
        <v>308</v>
      </c>
      <c r="AG216" s="6">
        <v>0</v>
      </c>
      <c r="AH216" s="6">
        <v>12</v>
      </c>
      <c r="AI216" s="9">
        <f>AH216+AG216+AF216</f>
        <v>320</v>
      </c>
      <c r="AJ216" s="8">
        <f>(AG216+AH216)/AI216</f>
        <v>3.7499999999999999E-2</v>
      </c>
      <c r="AK216" s="6">
        <f>SUM(E216:W216)</f>
        <v>153</v>
      </c>
    </row>
    <row r="217" spans="1:37" s="7" customFormat="1" ht="39" customHeight="1" x14ac:dyDescent="0.25">
      <c r="A217" s="13">
        <v>46151</v>
      </c>
      <c r="B217" s="21" t="s">
        <v>1</v>
      </c>
      <c r="C217" s="21" t="s">
        <v>6</v>
      </c>
      <c r="D217" s="11">
        <v>24</v>
      </c>
      <c r="E217" s="10">
        <v>20</v>
      </c>
      <c r="F217" s="10">
        <v>22</v>
      </c>
      <c r="G217" s="10">
        <v>26</v>
      </c>
      <c r="H217" s="10">
        <v>30</v>
      </c>
      <c r="I217" s="10"/>
      <c r="J217" s="10">
        <v>11</v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>
        <v>33</v>
      </c>
      <c r="AA217" s="6"/>
      <c r="AB217" s="6">
        <f>SUM(E217:AA217)</f>
        <v>142</v>
      </c>
      <c r="AC217" s="6">
        <v>329</v>
      </c>
      <c r="AD217" s="9">
        <f>SUM(AB217:AC217)</f>
        <v>471</v>
      </c>
      <c r="AE217" s="8">
        <f>AB217/AD217</f>
        <v>0.30148619957537154</v>
      </c>
      <c r="AF217" s="14">
        <v>150</v>
      </c>
      <c r="AG217" s="6">
        <v>2</v>
      </c>
      <c r="AH217" s="14">
        <v>5</v>
      </c>
      <c r="AI217" s="9">
        <f>AH217+AG217+AF217</f>
        <v>157</v>
      </c>
      <c r="AJ217" s="8">
        <f>(AG217+AH217)/AI217</f>
        <v>4.4585987261146494E-2</v>
      </c>
      <c r="AK217" s="6">
        <f>SUM(E217:W217)</f>
        <v>109</v>
      </c>
    </row>
    <row r="218" spans="1:37" s="7" customFormat="1" ht="39" customHeight="1" x14ac:dyDescent="0.25">
      <c r="A218" s="13">
        <v>46151</v>
      </c>
      <c r="B218" s="21" t="s">
        <v>1</v>
      </c>
      <c r="C218" s="11" t="s">
        <v>10</v>
      </c>
      <c r="D218" s="11">
        <v>25</v>
      </c>
      <c r="E218" s="10">
        <v>17</v>
      </c>
      <c r="F218" s="10">
        <v>10</v>
      </c>
      <c r="G218" s="10">
        <v>10</v>
      </c>
      <c r="H218" s="10">
        <v>18</v>
      </c>
      <c r="I218" s="10"/>
      <c r="J218" s="10">
        <v>15</v>
      </c>
      <c r="K218" s="6"/>
      <c r="L218" s="6"/>
      <c r="M218" s="6"/>
      <c r="N218" s="6"/>
      <c r="O218" s="6"/>
      <c r="P218" s="6"/>
      <c r="Q218" s="6"/>
      <c r="R218" s="6">
        <v>10</v>
      </c>
      <c r="S218" s="6"/>
      <c r="T218" s="6"/>
      <c r="U218" s="6"/>
      <c r="V218" s="6"/>
      <c r="W218" s="6"/>
      <c r="X218" s="6"/>
      <c r="Y218" s="6"/>
      <c r="Z218" s="6">
        <v>20</v>
      </c>
      <c r="AA218" s="6"/>
      <c r="AB218" s="6">
        <f>SUM(E218:AA218)</f>
        <v>100</v>
      </c>
      <c r="AC218" s="6">
        <v>114</v>
      </c>
      <c r="AD218" s="9">
        <f>SUM(AB218:AC218)</f>
        <v>214</v>
      </c>
      <c r="AE218" s="8">
        <f>AB218/AD218</f>
        <v>0.46728971962616822</v>
      </c>
      <c r="AF218" s="6">
        <v>560</v>
      </c>
      <c r="AG218" s="6">
        <v>7</v>
      </c>
      <c r="AH218" s="6">
        <v>10</v>
      </c>
      <c r="AI218" s="9">
        <f>AH218+AG218+AF218</f>
        <v>577</v>
      </c>
      <c r="AJ218" s="8">
        <f>(AG218+AH218)/AI218</f>
        <v>2.9462738301559793E-2</v>
      </c>
      <c r="AK218" s="6">
        <f>SUM(E218:W218)</f>
        <v>80</v>
      </c>
    </row>
    <row r="219" spans="1:37" s="7" customFormat="1" ht="39" customHeight="1" x14ac:dyDescent="0.25">
      <c r="A219" s="13">
        <v>46151</v>
      </c>
      <c r="B219" s="21" t="s">
        <v>1</v>
      </c>
      <c r="C219" s="11" t="s">
        <v>22</v>
      </c>
      <c r="D219" s="11">
        <v>26</v>
      </c>
      <c r="E219" s="10">
        <v>98</v>
      </c>
      <c r="F219" s="10">
        <v>16</v>
      </c>
      <c r="G219" s="10">
        <v>50</v>
      </c>
      <c r="H219" s="10"/>
      <c r="I219" s="10">
        <v>72</v>
      </c>
      <c r="J219" s="10">
        <v>4</v>
      </c>
      <c r="K219" s="6"/>
      <c r="L219" s="6"/>
      <c r="M219" s="6"/>
      <c r="N219" s="6"/>
      <c r="O219" s="6"/>
      <c r="P219" s="6"/>
      <c r="Q219" s="6"/>
      <c r="R219" s="6">
        <v>2</v>
      </c>
      <c r="S219" s="6"/>
      <c r="T219" s="6">
        <v>5</v>
      </c>
      <c r="U219" s="6"/>
      <c r="V219" s="6"/>
      <c r="W219" s="6"/>
      <c r="X219" s="6"/>
      <c r="Y219" s="6"/>
      <c r="Z219" s="6">
        <v>21</v>
      </c>
      <c r="AA219" s="6"/>
      <c r="AB219" s="6">
        <f>SUM(E219:AA219)</f>
        <v>268</v>
      </c>
      <c r="AC219" s="6">
        <v>13</v>
      </c>
      <c r="AD219" s="9">
        <f>SUM(AB219:AC219)</f>
        <v>281</v>
      </c>
      <c r="AE219" s="8">
        <f>AB219/AD219</f>
        <v>0.9537366548042705</v>
      </c>
      <c r="AF219" s="6">
        <v>695</v>
      </c>
      <c r="AG219" s="6">
        <v>6</v>
      </c>
      <c r="AH219" s="6">
        <v>5</v>
      </c>
      <c r="AI219" s="9">
        <f>AH219+AG219+AF219</f>
        <v>706</v>
      </c>
      <c r="AJ219" s="8">
        <f>(AG219+AH219)/AI219</f>
        <v>1.5580736543909348E-2</v>
      </c>
      <c r="AK219" s="6">
        <f>SUM(E219:W219)</f>
        <v>247</v>
      </c>
    </row>
    <row r="220" spans="1:37" s="7" customFormat="1" ht="39" customHeight="1" x14ac:dyDescent="0.25">
      <c r="A220" s="13">
        <v>46151</v>
      </c>
      <c r="B220" s="21" t="s">
        <v>1</v>
      </c>
      <c r="C220" s="11" t="s">
        <v>10</v>
      </c>
      <c r="D220" s="11">
        <v>27</v>
      </c>
      <c r="E220" s="10">
        <v>19</v>
      </c>
      <c r="F220" s="10">
        <f>5+11</f>
        <v>16</v>
      </c>
      <c r="G220" s="10">
        <v>6</v>
      </c>
      <c r="H220" s="10">
        <v>2</v>
      </c>
      <c r="I220" s="10"/>
      <c r="J220" s="10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>
        <v>10</v>
      </c>
      <c r="AA220" s="6"/>
      <c r="AB220" s="6">
        <f>SUM(E220:AA220)</f>
        <v>53</v>
      </c>
      <c r="AC220" s="6">
        <v>49</v>
      </c>
      <c r="AD220" s="9">
        <f>SUM(AB220:AC220)</f>
        <v>102</v>
      </c>
      <c r="AE220" s="8">
        <f>AB220/AD220</f>
        <v>0.51960784313725494</v>
      </c>
      <c r="AF220" s="6">
        <v>500</v>
      </c>
      <c r="AG220" s="6">
        <v>0</v>
      </c>
      <c r="AH220" s="14">
        <v>15</v>
      </c>
      <c r="AI220" s="9">
        <f>AH220+AG220+AF220</f>
        <v>515</v>
      </c>
      <c r="AJ220" s="8">
        <f>(AG220+AH220)/AI220</f>
        <v>2.9126213592233011E-2</v>
      </c>
      <c r="AK220" s="6">
        <f>SUM(E220:W220)</f>
        <v>43</v>
      </c>
    </row>
    <row r="221" spans="1:37" s="7" customFormat="1" ht="39" customHeight="1" x14ac:dyDescent="0.25">
      <c r="A221" s="13">
        <v>46151</v>
      </c>
      <c r="B221" s="21" t="s">
        <v>1</v>
      </c>
      <c r="C221" s="11" t="s">
        <v>0</v>
      </c>
      <c r="D221" s="11">
        <v>28</v>
      </c>
      <c r="E221" s="10">
        <v>91</v>
      </c>
      <c r="F221" s="10">
        <v>11</v>
      </c>
      <c r="G221" s="10"/>
      <c r="H221" s="10">
        <v>2</v>
      </c>
      <c r="I221" s="10">
        <v>12</v>
      </c>
      <c r="J221" s="10">
        <v>7</v>
      </c>
      <c r="K221" s="6"/>
      <c r="L221" s="6"/>
      <c r="M221" s="6"/>
      <c r="N221" s="6"/>
      <c r="O221" s="6"/>
      <c r="P221" s="6">
        <v>4</v>
      </c>
      <c r="Q221" s="6"/>
      <c r="R221" s="6">
        <v>2</v>
      </c>
      <c r="S221" s="6"/>
      <c r="T221" s="6"/>
      <c r="U221" s="6"/>
      <c r="V221" s="6"/>
      <c r="W221" s="6"/>
      <c r="X221" s="6"/>
      <c r="Y221" s="6"/>
      <c r="Z221" s="6">
        <v>89</v>
      </c>
      <c r="AA221" s="6"/>
      <c r="AB221" s="6">
        <f>SUM(E221:AA221)</f>
        <v>218</v>
      </c>
      <c r="AC221" s="6">
        <v>15</v>
      </c>
      <c r="AD221" s="9">
        <f>SUM(AB221:AC221)</f>
        <v>233</v>
      </c>
      <c r="AE221" s="8">
        <f>AB221/AD221</f>
        <v>0.93562231759656656</v>
      </c>
      <c r="AF221" s="6">
        <v>435</v>
      </c>
      <c r="AG221" s="6">
        <v>4</v>
      </c>
      <c r="AH221" s="14">
        <v>21</v>
      </c>
      <c r="AI221" s="9">
        <f>AH221+AG221+AF221</f>
        <v>460</v>
      </c>
      <c r="AJ221" s="8">
        <f>(AG221+AH221)/AI221</f>
        <v>5.434782608695652E-2</v>
      </c>
      <c r="AK221" s="6">
        <f>SUM(E221:W221)</f>
        <v>129</v>
      </c>
    </row>
    <row r="222" spans="1:37" s="7" customFormat="1" ht="39" customHeight="1" x14ac:dyDescent="0.25">
      <c r="A222" s="20">
        <v>46153</v>
      </c>
      <c r="B222" s="19" t="s">
        <v>1</v>
      </c>
      <c r="C222" s="25" t="s">
        <v>3</v>
      </c>
      <c r="D222" s="25">
        <v>1</v>
      </c>
      <c r="E222" s="24">
        <v>23</v>
      </c>
      <c r="F222" s="24">
        <v>21</v>
      </c>
      <c r="G222" s="24">
        <v>16</v>
      </c>
      <c r="H222" s="24"/>
      <c r="I222" s="24">
        <v>9</v>
      </c>
      <c r="J222" s="24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>
        <v>4</v>
      </c>
      <c r="W222" s="15"/>
      <c r="X222" s="15">
        <v>7</v>
      </c>
      <c r="Y222" s="15"/>
      <c r="Z222" s="15">
        <v>5</v>
      </c>
      <c r="AA222" s="15"/>
      <c r="AB222" s="15">
        <f>SUM(E222:AA222)</f>
        <v>85</v>
      </c>
      <c r="AC222" s="15">
        <v>56</v>
      </c>
      <c r="AD222" s="17">
        <f>SUM(AB222:AC222)</f>
        <v>141</v>
      </c>
      <c r="AE222" s="16">
        <f>AB222/AD222</f>
        <v>0.6028368794326241</v>
      </c>
      <c r="AF222" s="23">
        <v>875</v>
      </c>
      <c r="AG222" s="15">
        <v>0</v>
      </c>
      <c r="AH222" s="23">
        <v>21</v>
      </c>
      <c r="AI222" s="17">
        <f>AH222+AG222+AF222</f>
        <v>896</v>
      </c>
      <c r="AJ222" s="16">
        <f>(AG222+AH222)/AI222</f>
        <v>2.34375E-2</v>
      </c>
      <c r="AK222" s="15">
        <f>SUM(E222:W222)</f>
        <v>73</v>
      </c>
    </row>
    <row r="223" spans="1:37" s="7" customFormat="1" ht="39" customHeight="1" x14ac:dyDescent="0.25">
      <c r="A223" s="13">
        <v>46153</v>
      </c>
      <c r="B223" s="21" t="s">
        <v>1</v>
      </c>
      <c r="C223" s="11" t="s">
        <v>21</v>
      </c>
      <c r="D223" s="11">
        <v>2</v>
      </c>
      <c r="E223" s="10">
        <v>25</v>
      </c>
      <c r="F223" s="10">
        <v>40</v>
      </c>
      <c r="G223" s="10">
        <v>40</v>
      </c>
      <c r="H223" s="10">
        <v>10</v>
      </c>
      <c r="I223" s="10"/>
      <c r="J223" s="10">
        <v>25</v>
      </c>
      <c r="K223" s="6">
        <v>15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>
        <v>25</v>
      </c>
      <c r="AA223" s="6"/>
      <c r="AB223" s="6">
        <f>SUM(E223:AA223)</f>
        <v>180</v>
      </c>
      <c r="AC223" s="6">
        <v>380</v>
      </c>
      <c r="AD223" s="9">
        <f>SUM(AB223:AC223)</f>
        <v>560</v>
      </c>
      <c r="AE223" s="8">
        <f>AB223/AD223</f>
        <v>0.32142857142857145</v>
      </c>
      <c r="AF223" s="14">
        <v>793</v>
      </c>
      <c r="AG223" s="6">
        <v>0</v>
      </c>
      <c r="AH223" s="14">
        <v>17</v>
      </c>
      <c r="AI223" s="9">
        <f>AH223+AG223+AF223</f>
        <v>810</v>
      </c>
      <c r="AJ223" s="8">
        <f>(AG223+AH223)/AI223</f>
        <v>2.0987654320987655E-2</v>
      </c>
      <c r="AK223" s="6">
        <f>SUM(E223:W223)</f>
        <v>155</v>
      </c>
    </row>
    <row r="224" spans="1:37" s="7" customFormat="1" ht="39" customHeight="1" x14ac:dyDescent="0.25">
      <c r="A224" s="13">
        <v>46153</v>
      </c>
      <c r="B224" s="21" t="s">
        <v>1</v>
      </c>
      <c r="C224" s="11" t="s">
        <v>16</v>
      </c>
      <c r="D224" s="11">
        <v>3</v>
      </c>
      <c r="E224" s="10">
        <v>37</v>
      </c>
      <c r="F224" s="10">
        <v>34</v>
      </c>
      <c r="G224" s="10"/>
      <c r="H224" s="10">
        <v>5</v>
      </c>
      <c r="I224" s="10"/>
      <c r="J224" s="10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>
        <v>24</v>
      </c>
      <c r="AA224" s="6"/>
      <c r="AB224" s="6">
        <f>SUM(E224:AA224)</f>
        <v>100</v>
      </c>
      <c r="AC224" s="6">
        <v>275</v>
      </c>
      <c r="AD224" s="9">
        <f>SUM(AB224:AC224)</f>
        <v>375</v>
      </c>
      <c r="AE224" s="8">
        <f>AB224/AD224</f>
        <v>0.26666666666666666</v>
      </c>
      <c r="AF224" s="6">
        <v>597</v>
      </c>
      <c r="AG224" s="6">
        <v>0</v>
      </c>
      <c r="AH224" s="6">
        <v>12</v>
      </c>
      <c r="AI224" s="9">
        <f>AH224+AG224+AF224</f>
        <v>609</v>
      </c>
      <c r="AJ224" s="8">
        <f>(AG224+AH224)/AI224</f>
        <v>1.9704433497536946E-2</v>
      </c>
      <c r="AK224" s="6">
        <f>SUM(E224:W224)</f>
        <v>76</v>
      </c>
    </row>
    <row r="225" spans="1:37" s="7" customFormat="1" ht="39" customHeight="1" x14ac:dyDescent="0.25">
      <c r="A225" s="13">
        <v>46153</v>
      </c>
      <c r="B225" s="21" t="s">
        <v>1</v>
      </c>
      <c r="C225" s="11" t="s">
        <v>16</v>
      </c>
      <c r="D225" s="11">
        <v>4</v>
      </c>
      <c r="E225" s="6"/>
      <c r="F225" s="10">
        <v>49</v>
      </c>
      <c r="G225" s="10">
        <v>22</v>
      </c>
      <c r="H225" s="10"/>
      <c r="I225" s="10"/>
      <c r="J225" s="10"/>
      <c r="K225" s="6"/>
      <c r="L225" s="6"/>
      <c r="M225" s="6"/>
      <c r="N225" s="6"/>
      <c r="O225" s="6"/>
      <c r="P225" s="6"/>
      <c r="Q225" s="6"/>
      <c r="R225" s="6">
        <v>51</v>
      </c>
      <c r="S225" s="6"/>
      <c r="T225" s="6"/>
      <c r="U225" s="6"/>
      <c r="V225" s="6"/>
      <c r="W225" s="6"/>
      <c r="X225" s="6"/>
      <c r="Y225" s="6"/>
      <c r="Z225" s="6">
        <v>11</v>
      </c>
      <c r="AA225" s="6"/>
      <c r="AB225" s="6">
        <f>SUM(E225:AA225)</f>
        <v>133</v>
      </c>
      <c r="AC225" s="6">
        <v>313</v>
      </c>
      <c r="AD225" s="9">
        <f>SUM(AB225:AC225)</f>
        <v>446</v>
      </c>
      <c r="AE225" s="8">
        <f>AB225/AD225</f>
        <v>0.2982062780269058</v>
      </c>
      <c r="AF225" s="14">
        <v>900</v>
      </c>
      <c r="AG225" s="6">
        <v>0</v>
      </c>
      <c r="AH225" s="14">
        <v>7</v>
      </c>
      <c r="AI225" s="9">
        <f>AH225+AG225+AF225</f>
        <v>907</v>
      </c>
      <c r="AJ225" s="8">
        <f>(AG225+AH225)/AI225</f>
        <v>7.717750826901874E-3</v>
      </c>
      <c r="AK225" s="6">
        <f>SUM(E225:W225)</f>
        <v>122</v>
      </c>
    </row>
    <row r="226" spans="1:37" s="7" customFormat="1" ht="39" customHeight="1" x14ac:dyDescent="0.25">
      <c r="A226" s="13">
        <v>46153</v>
      </c>
      <c r="B226" s="12" t="s">
        <v>1</v>
      </c>
      <c r="C226" s="11" t="s">
        <v>16</v>
      </c>
      <c r="D226" s="21">
        <v>5</v>
      </c>
      <c r="E226" s="10">
        <v>109</v>
      </c>
      <c r="F226" s="10">
        <f>168+64</f>
        <v>232</v>
      </c>
      <c r="G226" s="10">
        <v>71</v>
      </c>
      <c r="H226" s="10">
        <v>131</v>
      </c>
      <c r="I226" s="10"/>
      <c r="J226" s="10"/>
      <c r="K226" s="6"/>
      <c r="L226" s="6">
        <v>21</v>
      </c>
      <c r="M226" s="6"/>
      <c r="N226" s="6"/>
      <c r="O226" s="6"/>
      <c r="P226" s="6"/>
      <c r="Q226" s="6"/>
      <c r="R226" s="6">
        <f>14+38+33</f>
        <v>85</v>
      </c>
      <c r="S226" s="6"/>
      <c r="T226" s="6"/>
      <c r="U226" s="6"/>
      <c r="V226" s="6"/>
      <c r="W226" s="6"/>
      <c r="X226" s="6"/>
      <c r="Y226" s="6"/>
      <c r="Z226" s="6">
        <v>61</v>
      </c>
      <c r="AA226" s="6"/>
      <c r="AB226" s="6">
        <f>SUM(E226:AA226)</f>
        <v>710</v>
      </c>
      <c r="AC226" s="6">
        <v>292</v>
      </c>
      <c r="AD226" s="9">
        <f>SUM(AB226:AC226)</f>
        <v>1002</v>
      </c>
      <c r="AE226" s="8">
        <f>AB226/AD226</f>
        <v>0.70858283433133729</v>
      </c>
      <c r="AF226" s="6">
        <v>840</v>
      </c>
      <c r="AG226" s="6">
        <v>0</v>
      </c>
      <c r="AH226" s="6">
        <v>20</v>
      </c>
      <c r="AI226" s="9">
        <f>AH226+AG226+AF226</f>
        <v>860</v>
      </c>
      <c r="AJ226" s="8">
        <f>(AG226+AH226)/AI226</f>
        <v>2.3255813953488372E-2</v>
      </c>
      <c r="AK226" s="6">
        <f>SUM(E226:W226)</f>
        <v>649</v>
      </c>
    </row>
    <row r="227" spans="1:37" s="7" customFormat="1" ht="39" customHeight="1" x14ac:dyDescent="0.25">
      <c r="A227" s="13">
        <v>46153</v>
      </c>
      <c r="B227" s="21" t="s">
        <v>1</v>
      </c>
      <c r="C227" s="11" t="s">
        <v>15</v>
      </c>
      <c r="D227" s="11">
        <v>6</v>
      </c>
      <c r="E227" s="6">
        <v>83</v>
      </c>
      <c r="F227" s="10">
        <f>20+42+10+18</f>
        <v>90</v>
      </c>
      <c r="G227" s="10">
        <v>37</v>
      </c>
      <c r="H227" s="10">
        <v>65</v>
      </c>
      <c r="I227" s="10"/>
      <c r="J227" s="10">
        <v>27</v>
      </c>
      <c r="K227" s="6"/>
      <c r="L227" s="6"/>
      <c r="M227" s="6"/>
      <c r="N227" s="6"/>
      <c r="O227" s="6"/>
      <c r="P227" s="6"/>
      <c r="Q227" s="6"/>
      <c r="R227" s="6">
        <f>20+27</f>
        <v>47</v>
      </c>
      <c r="S227" s="6"/>
      <c r="T227" s="6"/>
      <c r="U227" s="6"/>
      <c r="V227" s="6"/>
      <c r="W227" s="6"/>
      <c r="X227" s="6"/>
      <c r="Y227" s="6"/>
      <c r="Z227" s="6">
        <v>100</v>
      </c>
      <c r="AA227" s="6"/>
      <c r="AB227" s="6">
        <f>SUM(E227:AA227)</f>
        <v>449</v>
      </c>
      <c r="AC227" s="6">
        <v>419</v>
      </c>
      <c r="AD227" s="9">
        <f>SUM(AB227:AC227)</f>
        <v>868</v>
      </c>
      <c r="AE227" s="8">
        <f>AB227/AD227</f>
        <v>0.51728110599078336</v>
      </c>
      <c r="AF227" s="6">
        <v>861</v>
      </c>
      <c r="AG227" s="6">
        <v>0</v>
      </c>
      <c r="AH227" s="6">
        <v>20</v>
      </c>
      <c r="AI227" s="9">
        <f>AH227+AG227+AF227</f>
        <v>881</v>
      </c>
      <c r="AJ227" s="8">
        <f>(AG227+AH227)/AI227</f>
        <v>2.2701475595913734E-2</v>
      </c>
      <c r="AK227" s="6">
        <f>SUM(E227:W227)</f>
        <v>349</v>
      </c>
    </row>
    <row r="228" spans="1:37" s="7" customFormat="1" ht="39" customHeight="1" x14ac:dyDescent="0.25">
      <c r="A228" s="13">
        <v>46153</v>
      </c>
      <c r="B228" s="12" t="s">
        <v>1</v>
      </c>
      <c r="C228" s="11" t="s">
        <v>14</v>
      </c>
      <c r="D228" s="11">
        <v>7</v>
      </c>
      <c r="E228" s="6">
        <v>30</v>
      </c>
      <c r="F228" s="10">
        <v>30</v>
      </c>
      <c r="G228" s="10"/>
      <c r="H228" s="10">
        <v>20</v>
      </c>
      <c r="I228" s="10"/>
      <c r="J228" s="10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>
        <v>20</v>
      </c>
      <c r="AA228" s="6"/>
      <c r="AB228" s="6">
        <f>SUM(E228:AA228)</f>
        <v>100</v>
      </c>
      <c r="AC228" s="6">
        <v>493</v>
      </c>
      <c r="AD228" s="9">
        <f>SUM(AB228:AC228)</f>
        <v>593</v>
      </c>
      <c r="AE228" s="8">
        <f>AB228/AD228</f>
        <v>0.16863406408094436</v>
      </c>
      <c r="AF228" s="14">
        <v>1057</v>
      </c>
      <c r="AG228" s="6">
        <v>7</v>
      </c>
      <c r="AH228" s="14">
        <v>13</v>
      </c>
      <c r="AI228" s="9">
        <f>AH228+AG228+AF228</f>
        <v>1077</v>
      </c>
      <c r="AJ228" s="8">
        <f>(AG228+AH228)/AI228</f>
        <v>1.8570102135561744E-2</v>
      </c>
      <c r="AK228" s="6">
        <f>SUM(E228:W228)</f>
        <v>80</v>
      </c>
    </row>
    <row r="229" spans="1:37" s="7" customFormat="1" ht="39" customHeight="1" x14ac:dyDescent="0.25">
      <c r="A229" s="13">
        <v>46153</v>
      </c>
      <c r="B229" s="12" t="s">
        <v>1</v>
      </c>
      <c r="C229" s="11" t="s">
        <v>13</v>
      </c>
      <c r="D229" s="11">
        <v>8</v>
      </c>
      <c r="E229" s="10">
        <v>116</v>
      </c>
      <c r="F229" s="10">
        <v>74</v>
      </c>
      <c r="G229" s="10">
        <v>42</v>
      </c>
      <c r="H229" s="10">
        <v>14</v>
      </c>
      <c r="I229" s="10"/>
      <c r="J229" s="10"/>
      <c r="K229" s="6"/>
      <c r="L229" s="6"/>
      <c r="M229" s="6"/>
      <c r="N229" s="6"/>
      <c r="O229" s="6"/>
      <c r="P229" s="6"/>
      <c r="Q229" s="6"/>
      <c r="R229" s="6">
        <v>28</v>
      </c>
      <c r="S229" s="6"/>
      <c r="T229" s="6"/>
      <c r="U229" s="6"/>
      <c r="V229" s="6"/>
      <c r="W229" s="6"/>
      <c r="X229" s="6"/>
      <c r="Y229" s="6"/>
      <c r="Z229" s="6">
        <v>31</v>
      </c>
      <c r="AA229" s="6"/>
      <c r="AB229" s="6">
        <f>SUM(E229:AA229)</f>
        <v>305</v>
      </c>
      <c r="AC229" s="6">
        <v>573</v>
      </c>
      <c r="AD229" s="9">
        <f>SUM(AB229:AC229)</f>
        <v>878</v>
      </c>
      <c r="AE229" s="8">
        <f>AB229/AD229</f>
        <v>0.34738041002277903</v>
      </c>
      <c r="AF229" s="6">
        <v>995</v>
      </c>
      <c r="AG229" s="6">
        <v>0</v>
      </c>
      <c r="AH229" s="6">
        <v>17</v>
      </c>
      <c r="AI229" s="9">
        <f>AH229+AG229+AF229</f>
        <v>1012</v>
      </c>
      <c r="AJ229" s="8">
        <f>(AG229+AH229)/AI229</f>
        <v>1.6798418972332016E-2</v>
      </c>
      <c r="AK229" s="6">
        <f>SUM(E229:W229)</f>
        <v>274</v>
      </c>
    </row>
    <row r="230" spans="1:37" s="7" customFormat="1" ht="39" customHeight="1" x14ac:dyDescent="0.25">
      <c r="A230" s="13">
        <v>46153</v>
      </c>
      <c r="B230" s="21" t="s">
        <v>1</v>
      </c>
      <c r="C230" s="11" t="s">
        <v>12</v>
      </c>
      <c r="D230" s="11">
        <v>9</v>
      </c>
      <c r="E230" s="10">
        <v>18</v>
      </c>
      <c r="F230" s="10">
        <v>114</v>
      </c>
      <c r="G230" s="10">
        <v>130</v>
      </c>
      <c r="H230" s="10"/>
      <c r="I230" s="10"/>
      <c r="J230" s="10">
        <v>60</v>
      </c>
      <c r="K230" s="6">
        <v>40</v>
      </c>
      <c r="L230" s="6">
        <v>56</v>
      </c>
      <c r="M230" s="6"/>
      <c r="N230" s="6"/>
      <c r="O230" s="6"/>
      <c r="P230" s="6"/>
      <c r="Q230" s="6"/>
      <c r="R230" s="6">
        <v>128</v>
      </c>
      <c r="S230" s="6"/>
      <c r="T230" s="6"/>
      <c r="U230" s="6"/>
      <c r="V230" s="6"/>
      <c r="W230" s="6"/>
      <c r="X230" s="6">
        <v>18</v>
      </c>
      <c r="Y230" s="6"/>
      <c r="Z230" s="6">
        <v>40</v>
      </c>
      <c r="AA230" s="6"/>
      <c r="AB230" s="6">
        <f>SUM(E230:AA230)</f>
        <v>604</v>
      </c>
      <c r="AC230" s="6">
        <v>867</v>
      </c>
      <c r="AD230" s="9">
        <f>SUM(AB230:AC230)</f>
        <v>1471</v>
      </c>
      <c r="AE230" s="8">
        <f>AB230/AD230</f>
        <v>0.41060503059143438</v>
      </c>
      <c r="AF230" s="14">
        <v>1044</v>
      </c>
      <c r="AG230" s="6">
        <v>12</v>
      </c>
      <c r="AH230" s="14">
        <v>21</v>
      </c>
      <c r="AI230" s="9">
        <f>AH230+AG230+AF230</f>
        <v>1077</v>
      </c>
      <c r="AJ230" s="8">
        <f>(AG230+AH230)/AI230</f>
        <v>3.0640668523676879E-2</v>
      </c>
      <c r="AK230" s="6">
        <f>SUM(E230:W230)</f>
        <v>546</v>
      </c>
    </row>
    <row r="231" spans="1:37" s="7" customFormat="1" ht="39" customHeight="1" x14ac:dyDescent="0.25">
      <c r="A231" s="13">
        <v>46153</v>
      </c>
      <c r="B231" s="12" t="s">
        <v>1</v>
      </c>
      <c r="C231" s="11" t="s">
        <v>0</v>
      </c>
      <c r="D231" s="11">
        <v>10</v>
      </c>
      <c r="E231" s="10">
        <v>72</v>
      </c>
      <c r="F231" s="10">
        <v>61</v>
      </c>
      <c r="G231" s="10">
        <v>24</v>
      </c>
      <c r="H231" s="10">
        <v>25</v>
      </c>
      <c r="I231" s="10"/>
      <c r="J231" s="10"/>
      <c r="K231" s="6"/>
      <c r="L231" s="6"/>
      <c r="M231" s="6"/>
      <c r="N231" s="6"/>
      <c r="O231" s="6"/>
      <c r="P231" s="6"/>
      <c r="Q231" s="6"/>
      <c r="R231" s="6">
        <v>18</v>
      </c>
      <c r="S231" s="6"/>
      <c r="T231" s="6"/>
      <c r="U231" s="6"/>
      <c r="V231" s="6">
        <v>12</v>
      </c>
      <c r="W231" s="6"/>
      <c r="X231" s="6"/>
      <c r="Y231" s="6"/>
      <c r="Z231" s="6">
        <v>25</v>
      </c>
      <c r="AA231" s="6"/>
      <c r="AB231" s="6">
        <f>SUM(E231:AA231)</f>
        <v>237</v>
      </c>
      <c r="AC231" s="6">
        <v>229</v>
      </c>
      <c r="AD231" s="9">
        <f>SUM(AB231:AC231)</f>
        <v>466</v>
      </c>
      <c r="AE231" s="8">
        <f>AB231/AD231</f>
        <v>0.50858369098712441</v>
      </c>
      <c r="AF231" s="6">
        <v>190</v>
      </c>
      <c r="AG231" s="6">
        <v>13</v>
      </c>
      <c r="AH231" s="6">
        <v>9</v>
      </c>
      <c r="AI231" s="9">
        <f>AH231+AG231+AF231</f>
        <v>212</v>
      </c>
      <c r="AJ231" s="8">
        <f>(AG231+AH231)/AI231</f>
        <v>0.10377358490566038</v>
      </c>
      <c r="AK231" s="6">
        <f>SUM(E231:W231)</f>
        <v>212</v>
      </c>
    </row>
    <row r="232" spans="1:37" s="7" customFormat="1" ht="39" customHeight="1" x14ac:dyDescent="0.25">
      <c r="A232" s="13">
        <v>46153</v>
      </c>
      <c r="B232" s="12" t="s">
        <v>1</v>
      </c>
      <c r="C232" s="11" t="s">
        <v>10</v>
      </c>
      <c r="D232" s="11">
        <v>11</v>
      </c>
      <c r="E232" s="10">
        <v>72</v>
      </c>
      <c r="F232" s="10">
        <v>83</v>
      </c>
      <c r="G232" s="10">
        <v>26</v>
      </c>
      <c r="H232" s="10">
        <v>43</v>
      </c>
      <c r="I232" s="10"/>
      <c r="J232" s="10"/>
      <c r="K232" s="6"/>
      <c r="L232" s="6"/>
      <c r="M232" s="6"/>
      <c r="N232" s="6"/>
      <c r="O232" s="6"/>
      <c r="P232" s="6"/>
      <c r="Q232" s="6"/>
      <c r="R232" s="6">
        <v>30</v>
      </c>
      <c r="S232" s="6"/>
      <c r="T232" s="6"/>
      <c r="U232" s="6"/>
      <c r="V232" s="6"/>
      <c r="W232" s="6"/>
      <c r="X232" s="6"/>
      <c r="Y232" s="6"/>
      <c r="Z232" s="6">
        <v>78</v>
      </c>
      <c r="AA232" s="6"/>
      <c r="AB232" s="6">
        <f>SUM(E232:AA232)</f>
        <v>332</v>
      </c>
      <c r="AC232" s="6">
        <v>233</v>
      </c>
      <c r="AD232" s="9">
        <f>SUM(AB232:AC232)</f>
        <v>565</v>
      </c>
      <c r="AE232" s="8">
        <f>AB232/AD232</f>
        <v>0.5876106194690266</v>
      </c>
      <c r="AF232" s="14">
        <v>626</v>
      </c>
      <c r="AG232" s="6">
        <v>0</v>
      </c>
      <c r="AH232" s="14">
        <v>5</v>
      </c>
      <c r="AI232" s="9">
        <f>AH232+AG232+AF232</f>
        <v>631</v>
      </c>
      <c r="AJ232" s="8">
        <f>(AG232+AH232)/AI232</f>
        <v>7.9239302694136295E-3</v>
      </c>
      <c r="AK232" s="6">
        <f>SUM(E232:W232)</f>
        <v>254</v>
      </c>
    </row>
    <row r="233" spans="1:37" s="7" customFormat="1" ht="39" customHeight="1" x14ac:dyDescent="0.25">
      <c r="A233" s="13">
        <v>46153</v>
      </c>
      <c r="B233" s="21" t="s">
        <v>1</v>
      </c>
      <c r="C233" s="11" t="s">
        <v>18</v>
      </c>
      <c r="D233" s="11">
        <v>13</v>
      </c>
      <c r="E233" s="10">
        <v>112</v>
      </c>
      <c r="F233" s="10">
        <v>194</v>
      </c>
      <c r="G233" s="10">
        <v>110</v>
      </c>
      <c r="H233" s="10">
        <v>73</v>
      </c>
      <c r="I233" s="10"/>
      <c r="J233" s="10"/>
      <c r="K233" s="6"/>
      <c r="L233" s="6"/>
      <c r="M233" s="6"/>
      <c r="N233" s="6"/>
      <c r="O233" s="6"/>
      <c r="P233" s="6"/>
      <c r="Q233" s="6"/>
      <c r="R233" s="6">
        <v>84</v>
      </c>
      <c r="S233" s="6"/>
      <c r="T233" s="6"/>
      <c r="U233" s="6"/>
      <c r="V233" s="6"/>
      <c r="W233" s="6"/>
      <c r="X233" s="6"/>
      <c r="Y233" s="6"/>
      <c r="Z233" s="6">
        <v>46</v>
      </c>
      <c r="AA233" s="6"/>
      <c r="AB233" s="6">
        <f>SUM(E233:AA233)</f>
        <v>619</v>
      </c>
      <c r="AC233" s="6">
        <v>480</v>
      </c>
      <c r="AD233" s="9">
        <f>SUM(AB233:AC233)</f>
        <v>1099</v>
      </c>
      <c r="AE233" s="8">
        <f>AB233/AD233</f>
        <v>0.56323930846223835</v>
      </c>
      <c r="AF233" s="6">
        <v>756</v>
      </c>
      <c r="AG233" s="6">
        <v>0</v>
      </c>
      <c r="AH233" s="6">
        <v>21</v>
      </c>
      <c r="AI233" s="9">
        <f>AH233+AG233+AF233</f>
        <v>777</v>
      </c>
      <c r="AJ233" s="8">
        <f>(AG233+AH233)/AI233</f>
        <v>2.7027027027027029E-2</v>
      </c>
      <c r="AK233" s="6">
        <f>SUM(E233:W233)</f>
        <v>573</v>
      </c>
    </row>
    <row r="234" spans="1:37" s="7" customFormat="1" ht="39" customHeight="1" x14ac:dyDescent="0.25">
      <c r="A234" s="13">
        <v>46153</v>
      </c>
      <c r="B234" s="21" t="s">
        <v>1</v>
      </c>
      <c r="C234" s="11" t="s">
        <v>8</v>
      </c>
      <c r="D234" s="11">
        <v>14</v>
      </c>
      <c r="E234" s="10">
        <v>30</v>
      </c>
      <c r="F234" s="10">
        <f>30+20</f>
        <v>50</v>
      </c>
      <c r="G234" s="10">
        <v>125</v>
      </c>
      <c r="H234" s="10">
        <v>20</v>
      </c>
      <c r="I234" s="10"/>
      <c r="J234" s="10"/>
      <c r="K234" s="6"/>
      <c r="L234" s="6">
        <v>30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>
        <v>37</v>
      </c>
      <c r="AA234" s="6"/>
      <c r="AB234" s="6">
        <f>SUM(E234:AA234)</f>
        <v>292</v>
      </c>
      <c r="AC234" s="6">
        <v>236</v>
      </c>
      <c r="AD234" s="9">
        <f>SUM(AB234:AC234)</f>
        <v>528</v>
      </c>
      <c r="AE234" s="8">
        <f>AB234/AD234</f>
        <v>0.55303030303030298</v>
      </c>
      <c r="AF234" s="6">
        <v>727</v>
      </c>
      <c r="AG234" s="6">
        <v>0</v>
      </c>
      <c r="AH234" s="6">
        <v>26</v>
      </c>
      <c r="AI234" s="9">
        <f>AH234+AG234+AF234</f>
        <v>753</v>
      </c>
      <c r="AJ234" s="8">
        <f>(AG234+AH234)/AI234</f>
        <v>3.4528552456839307E-2</v>
      </c>
      <c r="AK234" s="6">
        <f>SUM(E234:W234)</f>
        <v>255</v>
      </c>
    </row>
    <row r="235" spans="1:37" s="7" customFormat="1" ht="39" customHeight="1" x14ac:dyDescent="0.25">
      <c r="A235" s="13">
        <v>46153</v>
      </c>
      <c r="B235" s="12" t="s">
        <v>1</v>
      </c>
      <c r="C235" s="11" t="s">
        <v>7</v>
      </c>
      <c r="D235" s="11">
        <v>15</v>
      </c>
      <c r="E235" s="10">
        <v>42</v>
      </c>
      <c r="F235" s="10">
        <v>15</v>
      </c>
      <c r="G235" s="10">
        <v>30</v>
      </c>
      <c r="H235" s="10">
        <v>53</v>
      </c>
      <c r="I235" s="10">
        <v>27</v>
      </c>
      <c r="J235" s="10">
        <v>5</v>
      </c>
      <c r="K235" s="6"/>
      <c r="L235" s="6"/>
      <c r="M235" s="6"/>
      <c r="N235" s="6">
        <v>7</v>
      </c>
      <c r="O235" s="6"/>
      <c r="P235" s="6"/>
      <c r="Q235" s="6"/>
      <c r="R235" s="6">
        <v>3</v>
      </c>
      <c r="S235" s="6"/>
      <c r="T235" s="6"/>
      <c r="U235" s="6"/>
      <c r="V235" s="6">
        <v>16</v>
      </c>
      <c r="W235" s="6"/>
      <c r="X235" s="6"/>
      <c r="Y235" s="6"/>
      <c r="Z235" s="6">
        <v>31</v>
      </c>
      <c r="AA235" s="6"/>
      <c r="AB235" s="6">
        <f>SUM(E235:AA235)</f>
        <v>229</v>
      </c>
      <c r="AC235" s="6">
        <v>122</v>
      </c>
      <c r="AD235" s="9">
        <f>SUM(AB235:AC235)</f>
        <v>351</v>
      </c>
      <c r="AE235" s="8">
        <f>AB235/AD235</f>
        <v>0.6524216524216524</v>
      </c>
      <c r="AF235" s="6">
        <v>140</v>
      </c>
      <c r="AG235" s="6">
        <v>0</v>
      </c>
      <c r="AH235" s="6">
        <v>20</v>
      </c>
      <c r="AI235" s="9">
        <f>AH235+AG235+AF235</f>
        <v>160</v>
      </c>
      <c r="AJ235" s="8">
        <f>(AG235+AH235)/AI235</f>
        <v>0.125</v>
      </c>
      <c r="AK235" s="6">
        <f>SUM(E235:W235)</f>
        <v>198</v>
      </c>
    </row>
    <row r="236" spans="1:37" s="7" customFormat="1" ht="39" customHeight="1" x14ac:dyDescent="0.25">
      <c r="A236" s="13">
        <v>46153</v>
      </c>
      <c r="B236" s="21" t="s">
        <v>1</v>
      </c>
      <c r="C236" s="11" t="s">
        <v>10</v>
      </c>
      <c r="D236" s="11">
        <v>16</v>
      </c>
      <c r="E236" s="6">
        <v>187</v>
      </c>
      <c r="F236" s="10">
        <v>397</v>
      </c>
      <c r="G236" s="10">
        <v>235</v>
      </c>
      <c r="H236" s="10">
        <v>215</v>
      </c>
      <c r="I236" s="10"/>
      <c r="J236" s="10">
        <v>60</v>
      </c>
      <c r="K236" s="6"/>
      <c r="L236" s="6">
        <v>30</v>
      </c>
      <c r="M236" s="6"/>
      <c r="N236" s="6"/>
      <c r="O236" s="6"/>
      <c r="P236" s="6"/>
      <c r="Q236" s="6"/>
      <c r="R236" s="6">
        <v>153</v>
      </c>
      <c r="S236" s="6"/>
      <c r="T236" s="6"/>
      <c r="U236" s="6"/>
      <c r="V236" s="6"/>
      <c r="W236" s="6"/>
      <c r="X236" s="6"/>
      <c r="Y236" s="6"/>
      <c r="Z236" s="6">
        <v>60</v>
      </c>
      <c r="AA236" s="6"/>
      <c r="AB236" s="6">
        <f>SUM(E236:AA236)</f>
        <v>1337</v>
      </c>
      <c r="AC236" s="6">
        <v>455</v>
      </c>
      <c r="AD236" s="9">
        <f>SUM(AB236:AC236)</f>
        <v>1792</v>
      </c>
      <c r="AE236" s="8">
        <f>AB236/AD236</f>
        <v>0.74609375</v>
      </c>
      <c r="AF236" s="14">
        <v>315</v>
      </c>
      <c r="AG236" s="6">
        <v>0</v>
      </c>
      <c r="AH236" s="14">
        <v>30</v>
      </c>
      <c r="AI236" s="9">
        <f>AH236+AG236+AF236</f>
        <v>345</v>
      </c>
      <c r="AJ236" s="8">
        <f>(AG236+AH236)/AI236</f>
        <v>8.6956521739130432E-2</v>
      </c>
      <c r="AK236" s="6">
        <f>SUM(E236:W236)</f>
        <v>1277</v>
      </c>
    </row>
    <row r="237" spans="1:37" s="7" customFormat="1" ht="39" customHeight="1" x14ac:dyDescent="0.25">
      <c r="A237" s="13">
        <v>46153</v>
      </c>
      <c r="B237" s="21" t="s">
        <v>1</v>
      </c>
      <c r="C237" s="11" t="s">
        <v>12</v>
      </c>
      <c r="D237" s="11">
        <v>17</v>
      </c>
      <c r="E237" s="10">
        <v>37</v>
      </c>
      <c r="F237" s="10">
        <v>34</v>
      </c>
      <c r="G237" s="10">
        <v>120</v>
      </c>
      <c r="H237" s="10">
        <v>15</v>
      </c>
      <c r="I237" s="10"/>
      <c r="J237" s="10">
        <v>6</v>
      </c>
      <c r="K237" s="6"/>
      <c r="L237" s="6"/>
      <c r="M237" s="6"/>
      <c r="N237" s="6"/>
      <c r="O237" s="6"/>
      <c r="P237" s="6"/>
      <c r="Q237" s="6"/>
      <c r="R237" s="6">
        <v>102</v>
      </c>
      <c r="S237" s="6"/>
      <c r="T237" s="6"/>
      <c r="U237" s="6"/>
      <c r="V237" s="6"/>
      <c r="W237" s="6"/>
      <c r="X237" s="6"/>
      <c r="Y237" s="6"/>
      <c r="Z237" s="6">
        <v>72</v>
      </c>
      <c r="AA237" s="6"/>
      <c r="AB237" s="6">
        <f>SUM(E237:AA237)</f>
        <v>386</v>
      </c>
      <c r="AC237" s="6">
        <v>723</v>
      </c>
      <c r="AD237" s="9">
        <f>SUM(AB237:AC237)</f>
        <v>1109</v>
      </c>
      <c r="AE237" s="8">
        <f>AB237/AD237</f>
        <v>0.34806131650135258</v>
      </c>
      <c r="AF237" s="14">
        <v>680</v>
      </c>
      <c r="AG237" s="6">
        <v>0</v>
      </c>
      <c r="AH237" s="14">
        <v>40</v>
      </c>
      <c r="AI237" s="9">
        <f>AH237+AG237+AF237</f>
        <v>720</v>
      </c>
      <c r="AJ237" s="8">
        <f>(AG237+AH237)/AI237</f>
        <v>5.5555555555555552E-2</v>
      </c>
      <c r="AK237" s="6">
        <f>SUM(E237:W237)</f>
        <v>314</v>
      </c>
    </row>
    <row r="238" spans="1:37" s="7" customFormat="1" ht="39" customHeight="1" x14ac:dyDescent="0.25">
      <c r="A238" s="13">
        <v>46153</v>
      </c>
      <c r="B238" s="21" t="s">
        <v>1</v>
      </c>
      <c r="C238" s="21" t="s">
        <v>6</v>
      </c>
      <c r="D238" s="21">
        <v>18</v>
      </c>
      <c r="E238" s="10">
        <v>50</v>
      </c>
      <c r="F238" s="10"/>
      <c r="G238" s="10"/>
      <c r="H238" s="10"/>
      <c r="I238" s="10"/>
      <c r="J238" s="10">
        <v>15</v>
      </c>
      <c r="K238" s="6"/>
      <c r="L238" s="6"/>
      <c r="M238" s="6"/>
      <c r="N238" s="6">
        <v>33</v>
      </c>
      <c r="O238" s="6"/>
      <c r="P238" s="6"/>
      <c r="Q238" s="6"/>
      <c r="R238" s="6">
        <v>48</v>
      </c>
      <c r="S238" s="6"/>
      <c r="T238" s="6"/>
      <c r="U238" s="6"/>
      <c r="V238" s="6">
        <v>10</v>
      </c>
      <c r="W238" s="6"/>
      <c r="X238" s="6"/>
      <c r="Y238" s="6"/>
      <c r="Z238" s="6">
        <v>44</v>
      </c>
      <c r="AA238" s="6"/>
      <c r="AB238" s="6">
        <f>SUM(E238:AA238)</f>
        <v>200</v>
      </c>
      <c r="AC238" s="6">
        <v>661</v>
      </c>
      <c r="AD238" s="9">
        <f>SUM(AB238:AC238)</f>
        <v>861</v>
      </c>
      <c r="AE238" s="8">
        <f>AB238/AD238</f>
        <v>0.23228803716608595</v>
      </c>
      <c r="AF238" s="6">
        <v>430</v>
      </c>
      <c r="AG238" s="6">
        <v>0</v>
      </c>
      <c r="AH238" s="6">
        <v>11</v>
      </c>
      <c r="AI238" s="9">
        <f>AH238+AG238+AF238</f>
        <v>441</v>
      </c>
      <c r="AJ238" s="8">
        <f>(AG238+AH238)/AI238</f>
        <v>2.4943310657596373E-2</v>
      </c>
      <c r="AK238" s="6">
        <f>SUM(E238:W238)</f>
        <v>156</v>
      </c>
    </row>
    <row r="239" spans="1:37" s="7" customFormat="1" ht="39" customHeight="1" x14ac:dyDescent="0.25">
      <c r="A239" s="13">
        <v>46153</v>
      </c>
      <c r="B239" s="21" t="s">
        <v>1</v>
      </c>
      <c r="C239" s="11" t="s">
        <v>2</v>
      </c>
      <c r="D239" s="11">
        <v>19</v>
      </c>
      <c r="E239" s="10">
        <v>17</v>
      </c>
      <c r="F239" s="10">
        <v>4</v>
      </c>
      <c r="G239" s="10"/>
      <c r="H239" s="10"/>
      <c r="I239" s="10">
        <v>6</v>
      </c>
      <c r="J239" s="10"/>
      <c r="K239" s="6"/>
      <c r="L239" s="6"/>
      <c r="M239" s="6"/>
      <c r="N239" s="6"/>
      <c r="O239" s="6"/>
      <c r="P239" s="6"/>
      <c r="Q239" s="6"/>
      <c r="R239" s="6">
        <v>8</v>
      </c>
      <c r="S239" s="6"/>
      <c r="T239" s="6"/>
      <c r="U239" s="6"/>
      <c r="V239" s="6"/>
      <c r="W239" s="6"/>
      <c r="X239" s="6"/>
      <c r="Y239" s="6"/>
      <c r="Z239" s="6">
        <v>18</v>
      </c>
      <c r="AA239" s="6"/>
      <c r="AB239" s="6">
        <f>SUM(E239:AA239)</f>
        <v>53</v>
      </c>
      <c r="AC239" s="6">
        <v>128</v>
      </c>
      <c r="AD239" s="9">
        <f>SUM(AB239:AC239)</f>
        <v>181</v>
      </c>
      <c r="AE239" s="8">
        <f>AB239/AD239</f>
        <v>0.29281767955801102</v>
      </c>
      <c r="AF239" s="14">
        <v>220</v>
      </c>
      <c r="AG239" s="6">
        <v>0</v>
      </c>
      <c r="AH239" s="14">
        <v>35</v>
      </c>
      <c r="AI239" s="9">
        <f>AH239+AG239+AF239</f>
        <v>255</v>
      </c>
      <c r="AJ239" s="8">
        <f>(AG239+AH239)/AI239</f>
        <v>0.13725490196078433</v>
      </c>
      <c r="AK239" s="6">
        <f>SUM(E239:W239)</f>
        <v>35</v>
      </c>
    </row>
    <row r="240" spans="1:37" s="7" customFormat="1" ht="39" customHeight="1" x14ac:dyDescent="0.25">
      <c r="A240" s="13">
        <v>46153</v>
      </c>
      <c r="B240" s="21" t="s">
        <v>1</v>
      </c>
      <c r="C240" s="11" t="s">
        <v>9</v>
      </c>
      <c r="D240" s="11">
        <v>20</v>
      </c>
      <c r="E240" s="10">
        <v>25</v>
      </c>
      <c r="F240" s="10">
        <v>52</v>
      </c>
      <c r="G240" s="10"/>
      <c r="H240" s="10">
        <v>91</v>
      </c>
      <c r="I240" s="10">
        <v>40</v>
      </c>
      <c r="J240" s="10"/>
      <c r="K240" s="6"/>
      <c r="L240" s="6"/>
      <c r="M240" s="6"/>
      <c r="N240" s="6">
        <v>25</v>
      </c>
      <c r="O240" s="6"/>
      <c r="P240" s="6"/>
      <c r="Q240" s="6"/>
      <c r="R240" s="6">
        <v>25</v>
      </c>
      <c r="S240" s="6"/>
      <c r="T240" s="6"/>
      <c r="U240" s="6"/>
      <c r="V240" s="6"/>
      <c r="W240" s="6"/>
      <c r="X240" s="6"/>
      <c r="Y240" s="6"/>
      <c r="Z240" s="6">
        <v>40</v>
      </c>
      <c r="AA240" s="6"/>
      <c r="AB240" s="6">
        <f>SUM(E240:AA240)</f>
        <v>298</v>
      </c>
      <c r="AC240" s="6">
        <v>328</v>
      </c>
      <c r="AD240" s="9">
        <f>SUM(AB240:AC240)</f>
        <v>626</v>
      </c>
      <c r="AE240" s="8">
        <f>AB240/AD240</f>
        <v>0.47603833865814699</v>
      </c>
      <c r="AF240" s="14">
        <v>365</v>
      </c>
      <c r="AG240" s="6">
        <v>0</v>
      </c>
      <c r="AH240" s="14">
        <v>5</v>
      </c>
      <c r="AI240" s="9">
        <f>AH240+AG240+AF240</f>
        <v>370</v>
      </c>
      <c r="AJ240" s="8">
        <f>(AG240+AH240)/AI240</f>
        <v>1.3513513513513514E-2</v>
      </c>
      <c r="AK240" s="6">
        <f>SUM(E240:W240)</f>
        <v>258</v>
      </c>
    </row>
    <row r="241" spans="1:37" s="7" customFormat="1" ht="39" customHeight="1" x14ac:dyDescent="0.25">
      <c r="A241" s="13">
        <v>46153</v>
      </c>
      <c r="B241" s="21" t="s">
        <v>1</v>
      </c>
      <c r="C241" s="11" t="s">
        <v>19</v>
      </c>
      <c r="D241" s="11">
        <v>21</v>
      </c>
      <c r="E241" s="21">
        <v>90</v>
      </c>
      <c r="F241" s="21">
        <v>90</v>
      </c>
      <c r="G241" s="21">
        <v>25</v>
      </c>
      <c r="H241" s="21">
        <v>45</v>
      </c>
      <c r="I241" s="21"/>
      <c r="J241" s="21"/>
      <c r="K241" s="21">
        <v>30</v>
      </c>
      <c r="L241" s="6"/>
      <c r="M241" s="21">
        <v>50</v>
      </c>
      <c r="N241" s="21"/>
      <c r="O241" s="21"/>
      <c r="P241" s="21"/>
      <c r="Q241" s="21"/>
      <c r="R241" s="6">
        <v>50</v>
      </c>
      <c r="S241" s="6"/>
      <c r="T241" s="6"/>
      <c r="U241" s="21"/>
      <c r="V241" s="21"/>
      <c r="W241" s="6"/>
      <c r="X241" s="6"/>
      <c r="Y241" s="6"/>
      <c r="Z241" s="6">
        <f>55+57</f>
        <v>112</v>
      </c>
      <c r="AA241" s="6"/>
      <c r="AB241" s="6">
        <f>SUM(E241:AA241)</f>
        <v>492</v>
      </c>
      <c r="AC241" s="22">
        <v>179</v>
      </c>
      <c r="AD241" s="9">
        <f>SUM(AB241:AC241)</f>
        <v>671</v>
      </c>
      <c r="AE241" s="8">
        <f>AB241/AD241</f>
        <v>0.7332339791356185</v>
      </c>
      <c r="AF241" s="6">
        <v>850</v>
      </c>
      <c r="AG241" s="6">
        <v>0</v>
      </c>
      <c r="AH241" s="6">
        <v>17</v>
      </c>
      <c r="AI241" s="9">
        <f>AH241+AG241+AF241</f>
        <v>867</v>
      </c>
      <c r="AJ241" s="8">
        <f>(AG241+AH241)/AI241</f>
        <v>1.9607843137254902E-2</v>
      </c>
      <c r="AK241" s="6">
        <f>SUM(E241:W241)</f>
        <v>380</v>
      </c>
    </row>
    <row r="242" spans="1:37" s="7" customFormat="1" ht="39" customHeight="1" x14ac:dyDescent="0.25">
      <c r="A242" s="13">
        <v>46153</v>
      </c>
      <c r="B242" s="21" t="s">
        <v>1</v>
      </c>
      <c r="C242" s="11" t="s">
        <v>8</v>
      </c>
      <c r="D242" s="11">
        <v>22</v>
      </c>
      <c r="E242" s="10">
        <v>25</v>
      </c>
      <c r="F242" s="10">
        <v>45</v>
      </c>
      <c r="G242" s="10">
        <v>18</v>
      </c>
      <c r="H242" s="10">
        <v>20</v>
      </c>
      <c r="I242" s="10">
        <v>20</v>
      </c>
      <c r="J242" s="10">
        <v>8</v>
      </c>
      <c r="K242" s="6">
        <v>2</v>
      </c>
      <c r="L242" s="6"/>
      <c r="M242" s="6">
        <v>7</v>
      </c>
      <c r="N242" s="6"/>
      <c r="O242" s="6">
        <v>5</v>
      </c>
      <c r="P242" s="6"/>
      <c r="Q242" s="6"/>
      <c r="R242" s="6">
        <f>20+33</f>
        <v>53</v>
      </c>
      <c r="S242" s="6"/>
      <c r="T242" s="6"/>
      <c r="U242" s="6"/>
      <c r="V242" s="6">
        <v>10</v>
      </c>
      <c r="W242" s="6"/>
      <c r="X242" s="6">
        <v>20</v>
      </c>
      <c r="Y242" s="6"/>
      <c r="Z242" s="6">
        <v>10</v>
      </c>
      <c r="AA242" s="6">
        <v>5</v>
      </c>
      <c r="AB242" s="6">
        <f>SUM(E242:AA242)</f>
        <v>248</v>
      </c>
      <c r="AC242" s="6">
        <v>298</v>
      </c>
      <c r="AD242" s="9">
        <f>SUM(AB242:AC242)</f>
        <v>546</v>
      </c>
      <c r="AE242" s="8">
        <f>AB242/AD242</f>
        <v>0.45421245421245421</v>
      </c>
      <c r="AF242" s="6">
        <v>30</v>
      </c>
      <c r="AG242" s="6">
        <v>0</v>
      </c>
      <c r="AH242" s="6">
        <v>15</v>
      </c>
      <c r="AI242" s="9">
        <f>AH242+AG242+AF242</f>
        <v>45</v>
      </c>
      <c r="AJ242" s="8">
        <f>(AG242+AH242)/AI242</f>
        <v>0.33333333333333331</v>
      </c>
      <c r="AK242" s="6">
        <f>SUM(E242:W242)</f>
        <v>213</v>
      </c>
    </row>
    <row r="243" spans="1:37" s="7" customFormat="1" ht="39" customHeight="1" x14ac:dyDescent="0.25">
      <c r="A243" s="13">
        <v>46153</v>
      </c>
      <c r="B243" s="21" t="s">
        <v>1</v>
      </c>
      <c r="C243" s="11" t="s">
        <v>10</v>
      </c>
      <c r="D243" s="11">
        <v>23</v>
      </c>
      <c r="E243" s="10">
        <f>20+10+10+20</f>
        <v>60</v>
      </c>
      <c r="F243" s="10">
        <f>22+13</f>
        <v>35</v>
      </c>
      <c r="G243" s="10"/>
      <c r="H243" s="10">
        <v>42</v>
      </c>
      <c r="I243" s="10"/>
      <c r="J243" s="10"/>
      <c r="K243" s="6"/>
      <c r="L243" s="6"/>
      <c r="M243" s="6"/>
      <c r="N243" s="6"/>
      <c r="O243" s="6"/>
      <c r="P243" s="6"/>
      <c r="Q243" s="6"/>
      <c r="R243" s="6">
        <v>20</v>
      </c>
      <c r="S243" s="6"/>
      <c r="T243" s="6"/>
      <c r="U243" s="6"/>
      <c r="V243" s="6"/>
      <c r="W243" s="6"/>
      <c r="X243" s="6"/>
      <c r="Y243" s="6"/>
      <c r="Z243" s="6">
        <v>30</v>
      </c>
      <c r="AA243" s="6"/>
      <c r="AB243" s="6">
        <f>SUM(E243:AA243)</f>
        <v>187</v>
      </c>
      <c r="AC243" s="6">
        <v>199</v>
      </c>
      <c r="AD243" s="9">
        <f>SUM(AB243:AC243)</f>
        <v>386</v>
      </c>
      <c r="AE243" s="8">
        <f>AB243/AD243</f>
        <v>0.4844559585492228</v>
      </c>
      <c r="AF243" s="14">
        <v>315</v>
      </c>
      <c r="AG243" s="6">
        <v>0</v>
      </c>
      <c r="AH243" s="14">
        <v>22</v>
      </c>
      <c r="AI243" s="9">
        <f>AH243+AG243+AF243</f>
        <v>337</v>
      </c>
      <c r="AJ243" s="8">
        <f>(AG243+AH243)/AI243</f>
        <v>6.5281899109792291E-2</v>
      </c>
      <c r="AK243" s="6">
        <f>SUM(E243:W243)</f>
        <v>157</v>
      </c>
    </row>
    <row r="244" spans="1:37" s="7" customFormat="1" ht="39" customHeight="1" x14ac:dyDescent="0.25">
      <c r="A244" s="13">
        <v>46153</v>
      </c>
      <c r="B244" s="21" t="s">
        <v>1</v>
      </c>
      <c r="C244" s="21" t="s">
        <v>6</v>
      </c>
      <c r="D244" s="11">
        <v>24</v>
      </c>
      <c r="E244" s="10">
        <v>15</v>
      </c>
      <c r="F244" s="10">
        <v>32</v>
      </c>
      <c r="G244" s="10">
        <v>18</v>
      </c>
      <c r="H244" s="10">
        <v>43</v>
      </c>
      <c r="I244" s="10"/>
      <c r="J244" s="10">
        <v>12</v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>
        <v>42</v>
      </c>
      <c r="AA244" s="6"/>
      <c r="AB244" s="6">
        <f>SUM(E244:AA244)</f>
        <v>162</v>
      </c>
      <c r="AC244" s="6">
        <v>715</v>
      </c>
      <c r="AD244" s="9">
        <f>SUM(AB244:AC244)</f>
        <v>877</v>
      </c>
      <c r="AE244" s="8">
        <f>AB244/AD244</f>
        <v>0.1847206385404789</v>
      </c>
      <c r="AF244" s="6">
        <v>215</v>
      </c>
      <c r="AG244" s="6">
        <v>5</v>
      </c>
      <c r="AH244" s="6">
        <v>11</v>
      </c>
      <c r="AI244" s="9">
        <f>AH244+AG244+AF244</f>
        <v>231</v>
      </c>
      <c r="AJ244" s="8">
        <f>(AG244+AH244)/AI244</f>
        <v>6.9264069264069264E-2</v>
      </c>
      <c r="AK244" s="6">
        <f>SUM(E244:W244)</f>
        <v>120</v>
      </c>
    </row>
    <row r="245" spans="1:37" s="7" customFormat="1" ht="39" customHeight="1" x14ac:dyDescent="0.25">
      <c r="A245" s="13">
        <v>46153</v>
      </c>
      <c r="B245" s="27" t="s">
        <v>5</v>
      </c>
      <c r="C245" s="27" t="s">
        <v>4</v>
      </c>
      <c r="D245" s="11">
        <v>25</v>
      </c>
      <c r="E245" s="10">
        <v>80</v>
      </c>
      <c r="F245" s="10">
        <v>100</v>
      </c>
      <c r="G245" s="10">
        <v>85</v>
      </c>
      <c r="H245" s="10">
        <v>9</v>
      </c>
      <c r="I245" s="10"/>
      <c r="J245" s="10">
        <v>120</v>
      </c>
      <c r="K245" s="6">
        <v>10</v>
      </c>
      <c r="L245" s="6"/>
      <c r="M245" s="6"/>
      <c r="N245" s="6"/>
      <c r="O245" s="6"/>
      <c r="P245" s="6"/>
      <c r="Q245" s="6"/>
      <c r="R245" s="6">
        <v>65</v>
      </c>
      <c r="S245" s="6"/>
      <c r="T245" s="6"/>
      <c r="U245" s="6"/>
      <c r="V245" s="6"/>
      <c r="W245" s="6"/>
      <c r="X245" s="6">
        <v>15</v>
      </c>
      <c r="Y245" s="6"/>
      <c r="Z245" s="6">
        <v>115</v>
      </c>
      <c r="AA245" s="6"/>
      <c r="AB245" s="6">
        <f>SUM(E245:AA245)</f>
        <v>599</v>
      </c>
      <c r="AC245" s="6">
        <v>162</v>
      </c>
      <c r="AD245" s="9">
        <f>SUM(AB245:AC245)</f>
        <v>761</v>
      </c>
      <c r="AE245" s="8">
        <f>AB245/AD245</f>
        <v>0.78712220762155061</v>
      </c>
      <c r="AF245" s="6">
        <v>590</v>
      </c>
      <c r="AG245" s="6">
        <v>21</v>
      </c>
      <c r="AH245" s="6">
        <v>5</v>
      </c>
      <c r="AI245" s="9">
        <f>AH245+AG245+AF245</f>
        <v>616</v>
      </c>
      <c r="AJ245" s="8">
        <f>(AG245+AH245)/AI245</f>
        <v>4.2207792207792208E-2</v>
      </c>
      <c r="AK245" s="6">
        <f>SUM(E245:W245)</f>
        <v>469</v>
      </c>
    </row>
    <row r="246" spans="1:37" s="7" customFormat="1" ht="39" customHeight="1" x14ac:dyDescent="0.25">
      <c r="A246" s="13">
        <v>46153</v>
      </c>
      <c r="B246" s="21" t="s">
        <v>1</v>
      </c>
      <c r="C246" s="11" t="s">
        <v>22</v>
      </c>
      <c r="D246" s="11">
        <v>26</v>
      </c>
      <c r="E246" s="10">
        <v>66</v>
      </c>
      <c r="F246" s="10">
        <v>3</v>
      </c>
      <c r="G246" s="10">
        <v>58</v>
      </c>
      <c r="H246" s="10"/>
      <c r="I246" s="10">
        <v>55</v>
      </c>
      <c r="J246" s="10">
        <v>4</v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>
        <v>2</v>
      </c>
      <c r="W246" s="6"/>
      <c r="X246" s="6"/>
      <c r="Y246" s="6"/>
      <c r="Z246" s="6">
        <v>7</v>
      </c>
      <c r="AA246" s="6"/>
      <c r="AB246" s="6">
        <f>SUM(E246:AA246)</f>
        <v>195</v>
      </c>
      <c r="AC246" s="6">
        <v>1</v>
      </c>
      <c r="AD246" s="9">
        <f>SUM(AB246:AC246)</f>
        <v>196</v>
      </c>
      <c r="AE246" s="8">
        <f>AB246/AD246</f>
        <v>0.99489795918367352</v>
      </c>
      <c r="AF246" s="6">
        <v>846</v>
      </c>
      <c r="AG246" s="6">
        <v>17</v>
      </c>
      <c r="AH246" s="14">
        <v>11</v>
      </c>
      <c r="AI246" s="9">
        <f>AH246+AG246+AF246</f>
        <v>874</v>
      </c>
      <c r="AJ246" s="8">
        <f>(AG246+AH246)/AI246</f>
        <v>3.2036613272311214E-2</v>
      </c>
      <c r="AK246" s="6">
        <f>SUM(E246:W246)</f>
        <v>188</v>
      </c>
    </row>
    <row r="247" spans="1:37" s="7" customFormat="1" ht="39" customHeight="1" x14ac:dyDescent="0.25">
      <c r="A247" s="13">
        <v>46153</v>
      </c>
      <c r="B247" s="27" t="s">
        <v>5</v>
      </c>
      <c r="C247" s="27" t="s">
        <v>4</v>
      </c>
      <c r="D247" s="11">
        <v>27</v>
      </c>
      <c r="E247" s="10">
        <v>13</v>
      </c>
      <c r="F247" s="10">
        <v>10</v>
      </c>
      <c r="G247" s="10">
        <v>2</v>
      </c>
      <c r="H247" s="10"/>
      <c r="I247" s="10"/>
      <c r="J247" s="10"/>
      <c r="K247" s="6">
        <v>7</v>
      </c>
      <c r="L247" s="6"/>
      <c r="M247" s="6"/>
      <c r="N247" s="6"/>
      <c r="O247" s="6"/>
      <c r="P247" s="6"/>
      <c r="Q247" s="6"/>
      <c r="R247" s="6">
        <v>9</v>
      </c>
      <c r="S247" s="6"/>
      <c r="T247" s="6"/>
      <c r="U247" s="6"/>
      <c r="V247" s="6"/>
      <c r="W247" s="6"/>
      <c r="X247" s="6"/>
      <c r="Y247" s="6"/>
      <c r="Z247" s="6">
        <v>9</v>
      </c>
      <c r="AA247" s="6"/>
      <c r="AB247" s="6">
        <f>SUM(E247:AA247)</f>
        <v>50</v>
      </c>
      <c r="AC247" s="6">
        <v>77</v>
      </c>
      <c r="AD247" s="9">
        <f>SUM(AB247:AC247)</f>
        <v>127</v>
      </c>
      <c r="AE247" s="8">
        <f>AB247/AD247</f>
        <v>0.39370078740157483</v>
      </c>
      <c r="AF247" s="6">
        <v>735</v>
      </c>
      <c r="AG247" s="6">
        <v>10</v>
      </c>
      <c r="AH247" s="14">
        <v>5</v>
      </c>
      <c r="AI247" s="9">
        <f>AH247+AG247+AF247</f>
        <v>750</v>
      </c>
      <c r="AJ247" s="8">
        <f>(AG247+AH247)/AI247</f>
        <v>0.02</v>
      </c>
      <c r="AK247" s="6">
        <f>SUM(E247:W247)</f>
        <v>41</v>
      </c>
    </row>
    <row r="248" spans="1:37" s="7" customFormat="1" ht="39" customHeight="1" x14ac:dyDescent="0.25">
      <c r="A248" s="13">
        <v>46153</v>
      </c>
      <c r="B248" s="21" t="s">
        <v>1</v>
      </c>
      <c r="C248" s="11" t="s">
        <v>0</v>
      </c>
      <c r="D248" s="11">
        <v>28</v>
      </c>
      <c r="E248" s="10">
        <f>30+10+15+15+10</f>
        <v>80</v>
      </c>
      <c r="F248" s="10">
        <f>5+25+10</f>
        <v>40</v>
      </c>
      <c r="G248" s="10">
        <v>15</v>
      </c>
      <c r="H248" s="10">
        <v>40</v>
      </c>
      <c r="I248" s="10">
        <v>20</v>
      </c>
      <c r="J248" s="10">
        <v>25</v>
      </c>
      <c r="K248" s="6">
        <v>25</v>
      </c>
      <c r="L248" s="6">
        <v>20</v>
      </c>
      <c r="M248" s="6"/>
      <c r="N248" s="6"/>
      <c r="O248" s="6">
        <v>20</v>
      </c>
      <c r="P248" s="6"/>
      <c r="Q248" s="6"/>
      <c r="R248" s="6"/>
      <c r="S248" s="6"/>
      <c r="T248" s="6"/>
      <c r="U248" s="6"/>
      <c r="V248" s="6"/>
      <c r="W248" s="6"/>
      <c r="X248" s="6">
        <v>5</v>
      </c>
      <c r="Y248" s="6"/>
      <c r="Z248" s="6">
        <v>25</v>
      </c>
      <c r="AA248" s="6"/>
      <c r="AB248" s="6">
        <f>SUM(E248:AA248)</f>
        <v>315</v>
      </c>
      <c r="AC248" s="6">
        <v>33</v>
      </c>
      <c r="AD248" s="9">
        <f>SUM(AB248:AC248)</f>
        <v>348</v>
      </c>
      <c r="AE248" s="8">
        <f>AB248/AD248</f>
        <v>0.90517241379310343</v>
      </c>
      <c r="AF248" s="14">
        <v>527</v>
      </c>
      <c r="AG248" s="6">
        <v>4</v>
      </c>
      <c r="AH248" s="14">
        <v>21</v>
      </c>
      <c r="AI248" s="9">
        <f>AH248+AG248+AF248</f>
        <v>552</v>
      </c>
      <c r="AJ248" s="8">
        <f>(AG248+AH248)/AI248</f>
        <v>4.5289855072463768E-2</v>
      </c>
      <c r="AK248" s="6">
        <f>SUM(E248:W248)</f>
        <v>285</v>
      </c>
    </row>
    <row r="249" spans="1:37" s="7" customFormat="1" ht="39" customHeight="1" x14ac:dyDescent="0.25">
      <c r="A249" s="20">
        <v>46154</v>
      </c>
      <c r="B249" s="19" t="s">
        <v>1</v>
      </c>
      <c r="C249" s="25" t="s">
        <v>3</v>
      </c>
      <c r="D249" s="25">
        <v>1</v>
      </c>
      <c r="E249" s="24">
        <v>42</v>
      </c>
      <c r="F249" s="24">
        <v>22</v>
      </c>
      <c r="G249" s="24">
        <v>27</v>
      </c>
      <c r="H249" s="24"/>
      <c r="I249" s="24"/>
      <c r="J249" s="24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>
        <v>9</v>
      </c>
      <c r="Y249" s="15"/>
      <c r="Z249" s="15">
        <v>7</v>
      </c>
      <c r="AA249" s="15"/>
      <c r="AB249" s="15">
        <f>SUM(E249:AA249)</f>
        <v>107</v>
      </c>
      <c r="AC249" s="15">
        <v>113</v>
      </c>
      <c r="AD249" s="17">
        <f>SUM(AB249:AC249)</f>
        <v>220</v>
      </c>
      <c r="AE249" s="16">
        <f>AB249/AD249</f>
        <v>0.48636363636363639</v>
      </c>
      <c r="AF249" s="23">
        <v>856</v>
      </c>
      <c r="AG249" s="15">
        <v>0</v>
      </c>
      <c r="AH249" s="23">
        <v>24</v>
      </c>
      <c r="AI249" s="17">
        <f>AH249+AG249+AF249</f>
        <v>880</v>
      </c>
      <c r="AJ249" s="16">
        <f>(AG249+AH249)/AI249</f>
        <v>2.7272727272727271E-2</v>
      </c>
      <c r="AK249" s="15">
        <f>SUM(E249:W249)</f>
        <v>91</v>
      </c>
    </row>
    <row r="250" spans="1:37" s="7" customFormat="1" ht="39" customHeight="1" x14ac:dyDescent="0.25">
      <c r="A250" s="13">
        <v>46154</v>
      </c>
      <c r="B250" s="21" t="s">
        <v>1</v>
      </c>
      <c r="C250" s="11" t="s">
        <v>21</v>
      </c>
      <c r="D250" s="11">
        <v>2</v>
      </c>
      <c r="E250" s="10">
        <v>302</v>
      </c>
      <c r="F250" s="10">
        <v>163</v>
      </c>
      <c r="G250" s="10"/>
      <c r="H250" s="10">
        <v>100</v>
      </c>
      <c r="I250" s="10"/>
      <c r="J250" s="10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>
        <v>70</v>
      </c>
      <c r="V250" s="6"/>
      <c r="W250" s="6"/>
      <c r="X250" s="6"/>
      <c r="Y250" s="6"/>
      <c r="Z250" s="6">
        <f>20+35+10+20</f>
        <v>85</v>
      </c>
      <c r="AA250" s="6"/>
      <c r="AB250" s="6">
        <f>SUM(E250:AA250)</f>
        <v>720</v>
      </c>
      <c r="AC250" s="6">
        <v>333</v>
      </c>
      <c r="AD250" s="9">
        <f>SUM(AB250:AC250)</f>
        <v>1053</v>
      </c>
      <c r="AE250" s="8">
        <f>AB250/AD250</f>
        <v>0.68376068376068377</v>
      </c>
      <c r="AF250" s="6">
        <v>801</v>
      </c>
      <c r="AG250" s="6">
        <v>0</v>
      </c>
      <c r="AH250" s="6">
        <v>26</v>
      </c>
      <c r="AI250" s="9">
        <f>AH250+AG250+AF250</f>
        <v>827</v>
      </c>
      <c r="AJ250" s="8">
        <f>(AG250+AH250)/AI250</f>
        <v>3.143893591293833E-2</v>
      </c>
      <c r="AK250" s="6">
        <f>SUM(E250:W250)</f>
        <v>635</v>
      </c>
    </row>
    <row r="251" spans="1:37" s="7" customFormat="1" ht="39" customHeight="1" x14ac:dyDescent="0.25">
      <c r="A251" s="13">
        <v>46154</v>
      </c>
      <c r="B251" s="21" t="s">
        <v>1</v>
      </c>
      <c r="C251" s="11" t="s">
        <v>16</v>
      </c>
      <c r="D251" s="11">
        <v>3</v>
      </c>
      <c r="E251" s="6">
        <v>34</v>
      </c>
      <c r="F251" s="10">
        <f>12+8+5+5</f>
        <v>30</v>
      </c>
      <c r="G251" s="10">
        <v>8</v>
      </c>
      <c r="H251" s="10">
        <v>10</v>
      </c>
      <c r="I251" s="10"/>
      <c r="J251" s="10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>
        <v>18</v>
      </c>
      <c r="AA251" s="6"/>
      <c r="AB251" s="6">
        <f>SUM(E251:AA251)</f>
        <v>100</v>
      </c>
      <c r="AC251" s="6">
        <v>289</v>
      </c>
      <c r="AD251" s="9">
        <f>SUM(AB251:AC251)</f>
        <v>389</v>
      </c>
      <c r="AE251" s="8">
        <f>AB251/AD251</f>
        <v>0.25706940874035988</v>
      </c>
      <c r="AF251" s="14">
        <v>916</v>
      </c>
      <c r="AG251" s="6">
        <v>0</v>
      </c>
      <c r="AH251" s="14">
        <v>5</v>
      </c>
      <c r="AI251" s="9">
        <f>AH251+AG251+AF251</f>
        <v>921</v>
      </c>
      <c r="AJ251" s="8">
        <f>(AG251+AH251)/AI251</f>
        <v>5.4288816503800215E-3</v>
      </c>
      <c r="AK251" s="6">
        <f>SUM(E251:W251)</f>
        <v>82</v>
      </c>
    </row>
    <row r="252" spans="1:37" s="7" customFormat="1" ht="39" customHeight="1" x14ac:dyDescent="0.25">
      <c r="A252" s="13">
        <v>46154</v>
      </c>
      <c r="B252" s="21" t="s">
        <v>1</v>
      </c>
      <c r="C252" s="11" t="s">
        <v>16</v>
      </c>
      <c r="D252" s="11">
        <v>4</v>
      </c>
      <c r="E252" s="10">
        <v>20</v>
      </c>
      <c r="F252" s="10">
        <v>83</v>
      </c>
      <c r="G252" s="10">
        <v>25</v>
      </c>
      <c r="H252" s="10"/>
      <c r="I252" s="10">
        <v>21</v>
      </c>
      <c r="J252" s="10"/>
      <c r="K252" s="6"/>
      <c r="L252" s="6"/>
      <c r="M252" s="6"/>
      <c r="N252" s="6"/>
      <c r="O252" s="6"/>
      <c r="P252" s="6"/>
      <c r="Q252" s="6"/>
      <c r="R252" s="6">
        <v>62</v>
      </c>
      <c r="S252" s="6"/>
      <c r="T252" s="6"/>
      <c r="U252" s="6"/>
      <c r="V252" s="6"/>
      <c r="W252" s="6"/>
      <c r="X252" s="6"/>
      <c r="Y252" s="6"/>
      <c r="Z252" s="6">
        <v>33</v>
      </c>
      <c r="AA252" s="6"/>
      <c r="AB252" s="6">
        <f>SUM(E252:AA252)</f>
        <v>244</v>
      </c>
      <c r="AC252" s="6">
        <v>290</v>
      </c>
      <c r="AD252" s="9">
        <f>SUM(AB252:AC252)</f>
        <v>534</v>
      </c>
      <c r="AE252" s="8">
        <f>AB252/AD252</f>
        <v>0.45692883895131087</v>
      </c>
      <c r="AF252" s="6">
        <v>830</v>
      </c>
      <c r="AG252" s="6">
        <v>0</v>
      </c>
      <c r="AH252" s="6">
        <v>22</v>
      </c>
      <c r="AI252" s="9">
        <f>AH252+AG252+AF252</f>
        <v>852</v>
      </c>
      <c r="AJ252" s="8">
        <f>(AG252+AH252)/AI252</f>
        <v>2.5821596244131457E-2</v>
      </c>
      <c r="AK252" s="6">
        <f>SUM(E252:W252)</f>
        <v>211</v>
      </c>
    </row>
    <row r="253" spans="1:37" s="7" customFormat="1" ht="39" customHeight="1" x14ac:dyDescent="0.25">
      <c r="A253" s="13">
        <v>46154</v>
      </c>
      <c r="B253" s="12" t="s">
        <v>1</v>
      </c>
      <c r="C253" s="11" t="s">
        <v>16</v>
      </c>
      <c r="D253" s="21">
        <v>5</v>
      </c>
      <c r="E253" s="6">
        <v>85</v>
      </c>
      <c r="F253" s="10">
        <f>94+44</f>
        <v>138</v>
      </c>
      <c r="G253" s="10"/>
      <c r="H253" s="10">
        <v>58</v>
      </c>
      <c r="I253" s="10"/>
      <c r="J253" s="10"/>
      <c r="K253" s="6"/>
      <c r="L253" s="6"/>
      <c r="M253" s="6"/>
      <c r="N253" s="6"/>
      <c r="O253" s="6"/>
      <c r="P253" s="6"/>
      <c r="Q253" s="6"/>
      <c r="R253" s="6">
        <v>74</v>
      </c>
      <c r="S253" s="6"/>
      <c r="T253" s="6"/>
      <c r="U253" s="6"/>
      <c r="V253" s="6"/>
      <c r="W253" s="6"/>
      <c r="X253" s="6"/>
      <c r="Y253" s="6"/>
      <c r="Z253" s="6">
        <v>15</v>
      </c>
      <c r="AA253" s="6"/>
      <c r="AB253" s="6">
        <f>SUM(E253:AA253)</f>
        <v>370</v>
      </c>
      <c r="AC253" s="6">
        <v>417</v>
      </c>
      <c r="AD253" s="9">
        <f>SUM(AB253:AC253)</f>
        <v>787</v>
      </c>
      <c r="AE253" s="8">
        <f>AB253/AD253</f>
        <v>0.47013977128335449</v>
      </c>
      <c r="AF253" s="14">
        <v>750</v>
      </c>
      <c r="AG253" s="6">
        <v>0</v>
      </c>
      <c r="AH253" s="14">
        <v>23</v>
      </c>
      <c r="AI253" s="9">
        <f>AH253+AG253+AF253</f>
        <v>773</v>
      </c>
      <c r="AJ253" s="8">
        <f>(AG253+AH253)/AI253</f>
        <v>2.9754204398447608E-2</v>
      </c>
      <c r="AK253" s="6">
        <f>SUM(E253:W253)</f>
        <v>355</v>
      </c>
    </row>
    <row r="254" spans="1:37" s="7" customFormat="1" ht="39" customHeight="1" x14ac:dyDescent="0.25">
      <c r="A254" s="13">
        <v>46154</v>
      </c>
      <c r="B254" s="21" t="s">
        <v>1</v>
      </c>
      <c r="C254" s="11" t="s">
        <v>15</v>
      </c>
      <c r="D254" s="11">
        <v>6</v>
      </c>
      <c r="E254" s="6">
        <v>44</v>
      </c>
      <c r="F254" s="10">
        <v>52</v>
      </c>
      <c r="G254" s="10">
        <v>28</v>
      </c>
      <c r="H254" s="10">
        <v>47</v>
      </c>
      <c r="I254" s="10">
        <v>11</v>
      </c>
      <c r="J254" s="10">
        <v>14</v>
      </c>
      <c r="K254" s="6"/>
      <c r="L254" s="6">
        <v>10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>
        <v>91</v>
      </c>
      <c r="AA254" s="6"/>
      <c r="AB254" s="6">
        <f>SUM(E254:AA254)</f>
        <v>297</v>
      </c>
      <c r="AC254" s="6">
        <v>397</v>
      </c>
      <c r="AD254" s="9">
        <f>SUM(AB254:AC254)</f>
        <v>694</v>
      </c>
      <c r="AE254" s="8">
        <f>AB254/AD254</f>
        <v>0.42795389048991356</v>
      </c>
      <c r="AF254" s="6">
        <v>795</v>
      </c>
      <c r="AG254" s="6">
        <v>0</v>
      </c>
      <c r="AH254" s="6">
        <v>20</v>
      </c>
      <c r="AI254" s="9">
        <f>AH254+AG254+AF254</f>
        <v>815</v>
      </c>
      <c r="AJ254" s="8">
        <f>(AG254+AH254)/AI254</f>
        <v>2.4539877300613498E-2</v>
      </c>
      <c r="AK254" s="6">
        <f>SUM(E254:W254)</f>
        <v>206</v>
      </c>
    </row>
    <row r="255" spans="1:37" s="7" customFormat="1" ht="39" customHeight="1" x14ac:dyDescent="0.25">
      <c r="A255" s="13">
        <v>46154</v>
      </c>
      <c r="B255" s="12" t="s">
        <v>1</v>
      </c>
      <c r="C255" s="11" t="s">
        <v>14</v>
      </c>
      <c r="D255" s="11">
        <v>7</v>
      </c>
      <c r="E255" s="10">
        <v>46</v>
      </c>
      <c r="F255" s="10">
        <v>30</v>
      </c>
      <c r="G255" s="10">
        <v>30</v>
      </c>
      <c r="H255" s="10">
        <v>25</v>
      </c>
      <c r="I255" s="10"/>
      <c r="J255" s="10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>
        <v>30</v>
      </c>
      <c r="AA255" s="6"/>
      <c r="AB255" s="6">
        <f>SUM(E255:AA255)</f>
        <v>161</v>
      </c>
      <c r="AC255" s="6">
        <v>995</v>
      </c>
      <c r="AD255" s="9">
        <f>SUM(AB255:AC255)</f>
        <v>1156</v>
      </c>
      <c r="AE255" s="8">
        <f>AB255/AD255</f>
        <v>0.13927335640138408</v>
      </c>
      <c r="AF255" s="14">
        <v>1001</v>
      </c>
      <c r="AG255" s="6">
        <v>17</v>
      </c>
      <c r="AH255" s="14">
        <v>15</v>
      </c>
      <c r="AI255" s="9">
        <f>AH255+AG255+AF255</f>
        <v>1033</v>
      </c>
      <c r="AJ255" s="8">
        <f>(AG255+AH255)/AI255</f>
        <v>3.0977734753146177E-2</v>
      </c>
      <c r="AK255" s="6">
        <f>SUM(E255:W255)</f>
        <v>131</v>
      </c>
    </row>
    <row r="256" spans="1:37" s="7" customFormat="1" ht="39" customHeight="1" x14ac:dyDescent="0.25">
      <c r="A256" s="13">
        <v>46154</v>
      </c>
      <c r="B256" s="12" t="s">
        <v>1</v>
      </c>
      <c r="C256" s="11" t="s">
        <v>13</v>
      </c>
      <c r="D256" s="11">
        <v>8</v>
      </c>
      <c r="E256" s="10">
        <v>128</v>
      </c>
      <c r="F256" s="10">
        <v>66</v>
      </c>
      <c r="G256" s="10">
        <v>20</v>
      </c>
      <c r="H256" s="10">
        <v>43</v>
      </c>
      <c r="I256" s="10"/>
      <c r="J256" s="10">
        <v>39</v>
      </c>
      <c r="K256" s="6"/>
      <c r="L256" s="6"/>
      <c r="M256" s="6"/>
      <c r="N256" s="6">
        <v>21</v>
      </c>
      <c r="O256" s="6"/>
      <c r="P256" s="6"/>
      <c r="Q256" s="6"/>
      <c r="R256" s="6">
        <v>65</v>
      </c>
      <c r="S256" s="6"/>
      <c r="T256" s="6"/>
      <c r="U256" s="6"/>
      <c r="V256" s="6"/>
      <c r="W256" s="6"/>
      <c r="X256" s="6"/>
      <c r="Y256" s="6"/>
      <c r="Z256" s="6">
        <v>76</v>
      </c>
      <c r="AA256" s="6"/>
      <c r="AB256" s="6">
        <f>SUM(E256:AA256)</f>
        <v>458</v>
      </c>
      <c r="AC256" s="6">
        <v>528</v>
      </c>
      <c r="AD256" s="9">
        <f>SUM(AB256:AC256)</f>
        <v>986</v>
      </c>
      <c r="AE256" s="8">
        <f>AB256/AD256</f>
        <v>0.46450304259634889</v>
      </c>
      <c r="AF256" s="6">
        <v>930</v>
      </c>
      <c r="AG256" s="6">
        <v>0</v>
      </c>
      <c r="AH256" s="6">
        <v>29</v>
      </c>
      <c r="AI256" s="9">
        <f>AH256+AG256+AF256</f>
        <v>959</v>
      </c>
      <c r="AJ256" s="8">
        <f>(AG256+AH256)/AI256</f>
        <v>3.023983315954119E-2</v>
      </c>
      <c r="AK256" s="6">
        <f>SUM(E256:W256)</f>
        <v>382</v>
      </c>
    </row>
    <row r="257" spans="1:37" s="7" customFormat="1" ht="39" customHeight="1" x14ac:dyDescent="0.25">
      <c r="A257" s="13">
        <v>46154</v>
      </c>
      <c r="B257" s="21" t="s">
        <v>1</v>
      </c>
      <c r="C257" s="11" t="s">
        <v>12</v>
      </c>
      <c r="D257" s="11">
        <v>9</v>
      </c>
      <c r="E257" s="10">
        <v>115</v>
      </c>
      <c r="F257" s="10">
        <v>100</v>
      </c>
      <c r="G257" s="10">
        <v>20</v>
      </c>
      <c r="H257" s="10">
        <v>23</v>
      </c>
      <c r="I257" s="10"/>
      <c r="J257" s="10">
        <v>23</v>
      </c>
      <c r="K257" s="6"/>
      <c r="L257" s="6">
        <v>52</v>
      </c>
      <c r="M257" s="6"/>
      <c r="N257" s="6"/>
      <c r="O257" s="6"/>
      <c r="P257" s="6"/>
      <c r="Q257" s="6"/>
      <c r="R257" s="6">
        <v>120</v>
      </c>
      <c r="S257" s="6"/>
      <c r="T257" s="6"/>
      <c r="U257" s="6"/>
      <c r="V257" s="6"/>
      <c r="W257" s="6"/>
      <c r="X257" s="6"/>
      <c r="Y257" s="6"/>
      <c r="Z257" s="6">
        <v>88</v>
      </c>
      <c r="AA257" s="6"/>
      <c r="AB257" s="6">
        <f>SUM(E257:AA257)</f>
        <v>541</v>
      </c>
      <c r="AC257" s="6">
        <v>962</v>
      </c>
      <c r="AD257" s="9">
        <f>SUM(AB257:AC257)</f>
        <v>1503</v>
      </c>
      <c r="AE257" s="8">
        <f>AB257/AD257</f>
        <v>0.35994677312042583</v>
      </c>
      <c r="AF257" s="6">
        <v>1023</v>
      </c>
      <c r="AG257" s="6">
        <v>19</v>
      </c>
      <c r="AH257" s="6">
        <v>17</v>
      </c>
      <c r="AI257" s="9">
        <f>AH257+AG257+AF257</f>
        <v>1059</v>
      </c>
      <c r="AJ257" s="8">
        <f>(AG257+AH257)/AI257</f>
        <v>3.39943342776204E-2</v>
      </c>
      <c r="AK257" s="6">
        <f>SUM(E257:W257)</f>
        <v>453</v>
      </c>
    </row>
    <row r="258" spans="1:37" s="7" customFormat="1" ht="39" customHeight="1" x14ac:dyDescent="0.25">
      <c r="A258" s="13">
        <v>46154</v>
      </c>
      <c r="B258" s="12" t="s">
        <v>1</v>
      </c>
      <c r="C258" s="11" t="s">
        <v>0</v>
      </c>
      <c r="D258" s="11">
        <v>10</v>
      </c>
      <c r="E258" s="10">
        <v>84</v>
      </c>
      <c r="F258" s="10">
        <v>56</v>
      </c>
      <c r="G258" s="10">
        <v>23</v>
      </c>
      <c r="H258" s="10">
        <v>12</v>
      </c>
      <c r="I258" s="10"/>
      <c r="J258" s="10"/>
      <c r="K258" s="6"/>
      <c r="L258" s="6">
        <v>10</v>
      </c>
      <c r="M258" s="6"/>
      <c r="N258" s="6">
        <v>8</v>
      </c>
      <c r="O258" s="6"/>
      <c r="P258" s="6"/>
      <c r="Q258" s="6"/>
      <c r="R258" s="6">
        <v>13</v>
      </c>
      <c r="S258" s="6"/>
      <c r="T258" s="6"/>
      <c r="U258" s="6"/>
      <c r="V258" s="6">
        <v>5</v>
      </c>
      <c r="W258" s="6"/>
      <c r="X258" s="6"/>
      <c r="Y258" s="6"/>
      <c r="Z258" s="6">
        <v>21</v>
      </c>
      <c r="AA258" s="6"/>
      <c r="AB258" s="6">
        <f>SUM(E258:AA258)</f>
        <v>232</v>
      </c>
      <c r="AC258" s="6">
        <v>153</v>
      </c>
      <c r="AD258" s="9">
        <f>SUM(AB258:AC258)</f>
        <v>385</v>
      </c>
      <c r="AE258" s="8">
        <f>AB258/AD258</f>
        <v>0.60259740259740258</v>
      </c>
      <c r="AF258" s="14">
        <v>177</v>
      </c>
      <c r="AG258" s="6">
        <v>17</v>
      </c>
      <c r="AH258" s="14">
        <v>9</v>
      </c>
      <c r="AI258" s="9">
        <f>AH258+AG258+AF258</f>
        <v>203</v>
      </c>
      <c r="AJ258" s="8">
        <f>(AG258+AH258)/AI258</f>
        <v>0.12807881773399016</v>
      </c>
      <c r="AK258" s="6">
        <f>SUM(E258:W258)</f>
        <v>211</v>
      </c>
    </row>
    <row r="259" spans="1:37" s="7" customFormat="1" ht="39" customHeight="1" x14ac:dyDescent="0.25">
      <c r="A259" s="13">
        <v>46154</v>
      </c>
      <c r="B259" s="12" t="s">
        <v>1</v>
      </c>
      <c r="C259" s="11" t="s">
        <v>10</v>
      </c>
      <c r="D259" s="11">
        <v>11</v>
      </c>
      <c r="E259" s="10">
        <v>124</v>
      </c>
      <c r="F259" s="10">
        <v>143</v>
      </c>
      <c r="G259" s="10">
        <v>28</v>
      </c>
      <c r="H259" s="10">
        <v>94</v>
      </c>
      <c r="I259" s="10"/>
      <c r="J259" s="10"/>
      <c r="K259" s="6"/>
      <c r="L259" s="6"/>
      <c r="M259" s="6"/>
      <c r="N259" s="6"/>
      <c r="O259" s="6"/>
      <c r="P259" s="6"/>
      <c r="Q259" s="6"/>
      <c r="R259" s="6">
        <v>79</v>
      </c>
      <c r="S259" s="6"/>
      <c r="T259" s="6"/>
      <c r="U259" s="6"/>
      <c r="V259" s="6"/>
      <c r="W259" s="6"/>
      <c r="X259" s="6"/>
      <c r="Y259" s="6"/>
      <c r="Z259" s="6">
        <v>360</v>
      </c>
      <c r="AA259" s="6"/>
      <c r="AB259" s="6">
        <f>SUM(E259:AA259)</f>
        <v>828</v>
      </c>
      <c r="AC259" s="6">
        <v>297</v>
      </c>
      <c r="AD259" s="9">
        <f>SUM(AB259:AC259)</f>
        <v>1125</v>
      </c>
      <c r="AE259" s="8">
        <f>AB259/AD259</f>
        <v>0.73599999999999999</v>
      </c>
      <c r="AF259" s="6">
        <v>719</v>
      </c>
      <c r="AG259" s="6">
        <v>0</v>
      </c>
      <c r="AH259" s="6">
        <v>12</v>
      </c>
      <c r="AI259" s="9">
        <f>AH259+AG259+AF259</f>
        <v>731</v>
      </c>
      <c r="AJ259" s="8">
        <f>(AG259+AH259)/AI259</f>
        <v>1.6415868673050615E-2</v>
      </c>
      <c r="AK259" s="6">
        <f>SUM(E259:W259)</f>
        <v>468</v>
      </c>
    </row>
    <row r="260" spans="1:37" s="7" customFormat="1" ht="39" customHeight="1" x14ac:dyDescent="0.25">
      <c r="A260" s="13">
        <v>46154</v>
      </c>
      <c r="B260" s="21" t="s">
        <v>1</v>
      </c>
      <c r="C260" s="11" t="s">
        <v>18</v>
      </c>
      <c r="D260" s="11">
        <v>13</v>
      </c>
      <c r="E260" s="10">
        <v>46</v>
      </c>
      <c r="F260" s="10">
        <v>79</v>
      </c>
      <c r="G260" s="10">
        <v>24</v>
      </c>
      <c r="H260" s="10">
        <v>51</v>
      </c>
      <c r="I260" s="10"/>
      <c r="J260" s="10">
        <v>11</v>
      </c>
      <c r="K260" s="6"/>
      <c r="L260" s="6"/>
      <c r="M260" s="6"/>
      <c r="N260" s="6"/>
      <c r="O260" s="6"/>
      <c r="P260" s="6"/>
      <c r="Q260" s="6"/>
      <c r="R260" s="6">
        <v>49</v>
      </c>
      <c r="S260" s="6"/>
      <c r="T260" s="6"/>
      <c r="U260" s="6"/>
      <c r="V260" s="6"/>
      <c r="W260" s="6"/>
      <c r="X260" s="6"/>
      <c r="Y260" s="6"/>
      <c r="Z260" s="6">
        <v>12</v>
      </c>
      <c r="AA260" s="6"/>
      <c r="AB260" s="6">
        <f>SUM(E260:AA260)</f>
        <v>272</v>
      </c>
      <c r="AC260" s="6">
        <v>369</v>
      </c>
      <c r="AD260" s="9">
        <f>SUM(AB260:AC260)</f>
        <v>641</v>
      </c>
      <c r="AE260" s="8">
        <f>AB260/AD260</f>
        <v>0.42433697347893917</v>
      </c>
      <c r="AF260" s="14">
        <v>700</v>
      </c>
      <c r="AG260" s="6">
        <v>0</v>
      </c>
      <c r="AH260" s="14">
        <v>20</v>
      </c>
      <c r="AI260" s="9">
        <f>AH260+AG260+AF260</f>
        <v>720</v>
      </c>
      <c r="AJ260" s="8">
        <f>(AG260+AH260)/AI260</f>
        <v>2.7777777777777776E-2</v>
      </c>
      <c r="AK260" s="6">
        <f>SUM(E260:W260)</f>
        <v>260</v>
      </c>
    </row>
    <row r="261" spans="1:37" s="7" customFormat="1" ht="39" customHeight="1" x14ac:dyDescent="0.25">
      <c r="A261" s="13">
        <v>46154</v>
      </c>
      <c r="B261" s="21" t="s">
        <v>1</v>
      </c>
      <c r="C261" s="11" t="s">
        <v>8</v>
      </c>
      <c r="D261" s="11">
        <v>14</v>
      </c>
      <c r="E261" s="6"/>
      <c r="F261" s="10">
        <f>50+10</f>
        <v>60</v>
      </c>
      <c r="G261" s="10">
        <v>120</v>
      </c>
      <c r="H261" s="10"/>
      <c r="I261" s="10"/>
      <c r="J261" s="10"/>
      <c r="K261" s="6"/>
      <c r="L261" s="6">
        <v>30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>
        <v>27</v>
      </c>
      <c r="AA261" s="6"/>
      <c r="AB261" s="6">
        <f>SUM(E261:AA261)</f>
        <v>237</v>
      </c>
      <c r="AC261" s="6">
        <v>245</v>
      </c>
      <c r="AD261" s="9">
        <f>SUM(AB261:AC261)</f>
        <v>482</v>
      </c>
      <c r="AE261" s="8">
        <f>AB261/AD261</f>
        <v>0.49170124481327798</v>
      </c>
      <c r="AF261" s="6">
        <v>720</v>
      </c>
      <c r="AG261" s="6">
        <v>0</v>
      </c>
      <c r="AH261" s="6">
        <v>21</v>
      </c>
      <c r="AI261" s="9">
        <f>AH261+AG261+AF261</f>
        <v>741</v>
      </c>
      <c r="AJ261" s="8">
        <f>(AG261+AH261)/AI261</f>
        <v>2.8340080971659919E-2</v>
      </c>
      <c r="AK261" s="6">
        <f>SUM(E261:W261)</f>
        <v>210</v>
      </c>
    </row>
    <row r="262" spans="1:37" s="7" customFormat="1" ht="39" customHeight="1" x14ac:dyDescent="0.25">
      <c r="A262" s="13">
        <v>46154</v>
      </c>
      <c r="B262" s="12" t="s">
        <v>1</v>
      </c>
      <c r="C262" s="11" t="s">
        <v>7</v>
      </c>
      <c r="D262" s="11">
        <v>15</v>
      </c>
      <c r="E262" s="10">
        <v>18</v>
      </c>
      <c r="F262" s="10">
        <v>20</v>
      </c>
      <c r="G262" s="10">
        <v>27</v>
      </c>
      <c r="H262" s="10">
        <v>6</v>
      </c>
      <c r="I262" s="10">
        <v>30</v>
      </c>
      <c r="J262" s="10"/>
      <c r="K262" s="6"/>
      <c r="L262" s="6">
        <v>3</v>
      </c>
      <c r="M262" s="6"/>
      <c r="N262" s="6">
        <v>6</v>
      </c>
      <c r="O262" s="6"/>
      <c r="P262" s="6"/>
      <c r="Q262" s="6"/>
      <c r="R262" s="6">
        <v>6</v>
      </c>
      <c r="S262" s="6"/>
      <c r="T262" s="6"/>
      <c r="U262" s="6"/>
      <c r="V262" s="6">
        <v>16</v>
      </c>
      <c r="W262" s="6"/>
      <c r="X262" s="6"/>
      <c r="Y262" s="6"/>
      <c r="Z262" s="6">
        <v>23</v>
      </c>
      <c r="AA262" s="6"/>
      <c r="AB262" s="6">
        <f>SUM(E262:AA262)</f>
        <v>155</v>
      </c>
      <c r="AC262" s="6">
        <v>125</v>
      </c>
      <c r="AD262" s="9">
        <f>SUM(AB262:AC262)</f>
        <v>280</v>
      </c>
      <c r="AE262" s="8">
        <f>AB262/AD262</f>
        <v>0.5535714285714286</v>
      </c>
      <c r="AF262" s="6">
        <v>580</v>
      </c>
      <c r="AG262" s="6">
        <v>0</v>
      </c>
      <c r="AH262" s="6">
        <v>23</v>
      </c>
      <c r="AI262" s="9">
        <f>AH262+AG262+AF262</f>
        <v>603</v>
      </c>
      <c r="AJ262" s="8">
        <f>(AG262+AH262)/AI262</f>
        <v>3.8142620232172471E-2</v>
      </c>
      <c r="AK262" s="6">
        <f>SUM(E262:W262)</f>
        <v>132</v>
      </c>
    </row>
    <row r="263" spans="1:37" s="7" customFormat="1" ht="39" customHeight="1" x14ac:dyDescent="0.25">
      <c r="A263" s="13">
        <v>46154</v>
      </c>
      <c r="B263" s="21" t="s">
        <v>1</v>
      </c>
      <c r="C263" s="11" t="s">
        <v>10</v>
      </c>
      <c r="D263" s="11">
        <v>16</v>
      </c>
      <c r="E263" s="10">
        <v>20</v>
      </c>
      <c r="F263" s="10">
        <v>125</v>
      </c>
      <c r="G263" s="10">
        <v>80</v>
      </c>
      <c r="H263" s="10">
        <v>80</v>
      </c>
      <c r="I263" s="10"/>
      <c r="J263" s="10">
        <v>20</v>
      </c>
      <c r="K263" s="6"/>
      <c r="L263" s="6"/>
      <c r="M263" s="6"/>
      <c r="N263" s="6"/>
      <c r="O263" s="6"/>
      <c r="P263" s="6"/>
      <c r="Q263" s="6"/>
      <c r="R263" s="6">
        <v>40</v>
      </c>
      <c r="S263" s="6"/>
      <c r="T263" s="6"/>
      <c r="U263" s="6"/>
      <c r="V263" s="6"/>
      <c r="W263" s="6"/>
      <c r="X263" s="6"/>
      <c r="Y263" s="6"/>
      <c r="Z263" s="6">
        <v>35</v>
      </c>
      <c r="AA263" s="6"/>
      <c r="AB263" s="6">
        <f>SUM(E263:AA263)</f>
        <v>400</v>
      </c>
      <c r="AC263" s="6">
        <v>506</v>
      </c>
      <c r="AD263" s="9">
        <f>SUM(AB263:AC263)</f>
        <v>906</v>
      </c>
      <c r="AE263" s="8">
        <f>AB263/AD263</f>
        <v>0.44150110375275936</v>
      </c>
      <c r="AF263" s="6">
        <v>390</v>
      </c>
      <c r="AG263" s="6">
        <v>0</v>
      </c>
      <c r="AH263" s="6">
        <v>31</v>
      </c>
      <c r="AI263" s="9">
        <f>AH263+AG263+AF263</f>
        <v>421</v>
      </c>
      <c r="AJ263" s="8">
        <f>(AG263+AH263)/AI263</f>
        <v>7.3634204275534437E-2</v>
      </c>
      <c r="AK263" s="6">
        <f>SUM(E263:W263)</f>
        <v>365</v>
      </c>
    </row>
    <row r="264" spans="1:37" s="7" customFormat="1" ht="39" customHeight="1" x14ac:dyDescent="0.25">
      <c r="A264" s="13">
        <v>46154</v>
      </c>
      <c r="B264" s="21" t="s">
        <v>1</v>
      </c>
      <c r="C264" s="11" t="s">
        <v>12</v>
      </c>
      <c r="D264" s="11">
        <v>17</v>
      </c>
      <c r="E264" s="10">
        <v>33</v>
      </c>
      <c r="F264" s="10">
        <v>84</v>
      </c>
      <c r="G264" s="10">
        <v>43</v>
      </c>
      <c r="H264" s="10">
        <v>3</v>
      </c>
      <c r="I264" s="10"/>
      <c r="J264" s="10"/>
      <c r="K264" s="6"/>
      <c r="L264" s="6"/>
      <c r="M264" s="6"/>
      <c r="N264" s="6"/>
      <c r="O264" s="6"/>
      <c r="P264" s="6"/>
      <c r="Q264" s="6"/>
      <c r="R264" s="6">
        <v>57</v>
      </c>
      <c r="S264" s="6"/>
      <c r="T264" s="6"/>
      <c r="U264" s="6"/>
      <c r="V264" s="6"/>
      <c r="W264" s="6"/>
      <c r="X264" s="6">
        <v>61</v>
      </c>
      <c r="Y264" s="6"/>
      <c r="Z264" s="6">
        <v>47</v>
      </c>
      <c r="AA264" s="6"/>
      <c r="AB264" s="6">
        <f>SUM(E264:AA264)</f>
        <v>328</v>
      </c>
      <c r="AC264" s="6">
        <v>538</v>
      </c>
      <c r="AD264" s="9">
        <f>SUM(AB264:AC264)</f>
        <v>866</v>
      </c>
      <c r="AE264" s="8">
        <f>AB264/AD264</f>
        <v>0.3787528868360277</v>
      </c>
      <c r="AF264" s="14">
        <v>665</v>
      </c>
      <c r="AG264" s="6">
        <v>0</v>
      </c>
      <c r="AH264" s="14">
        <v>31</v>
      </c>
      <c r="AI264" s="9">
        <f>AH264+AG264+AF264</f>
        <v>696</v>
      </c>
      <c r="AJ264" s="8">
        <f>(AG264+AH264)/AI264</f>
        <v>4.4540229885057472E-2</v>
      </c>
      <c r="AK264" s="6">
        <f>SUM(E264:W264)</f>
        <v>220</v>
      </c>
    </row>
    <row r="265" spans="1:37" s="7" customFormat="1" ht="39" customHeight="1" x14ac:dyDescent="0.25">
      <c r="A265" s="13">
        <v>46154</v>
      </c>
      <c r="B265" s="21" t="s">
        <v>1</v>
      </c>
      <c r="C265" s="21" t="s">
        <v>6</v>
      </c>
      <c r="D265" s="21">
        <v>18</v>
      </c>
      <c r="E265" s="10">
        <v>85</v>
      </c>
      <c r="F265" s="10"/>
      <c r="G265" s="10"/>
      <c r="H265" s="10"/>
      <c r="I265" s="10"/>
      <c r="J265" s="10">
        <v>10</v>
      </c>
      <c r="K265" s="6"/>
      <c r="L265" s="6"/>
      <c r="M265" s="6"/>
      <c r="N265" s="6">
        <v>27</v>
      </c>
      <c r="O265" s="6"/>
      <c r="P265" s="6"/>
      <c r="Q265" s="6"/>
      <c r="R265" s="6">
        <v>30</v>
      </c>
      <c r="S265" s="6"/>
      <c r="T265" s="6"/>
      <c r="U265" s="6"/>
      <c r="V265" s="6"/>
      <c r="W265" s="6"/>
      <c r="X265" s="6"/>
      <c r="Y265" s="6"/>
      <c r="Z265" s="6">
        <v>25</v>
      </c>
      <c r="AA265" s="6"/>
      <c r="AB265" s="6">
        <f>SUM(E265:AA265)</f>
        <v>177</v>
      </c>
      <c r="AC265" s="6">
        <v>531</v>
      </c>
      <c r="AD265" s="9">
        <f>SUM(AB265:AC265)</f>
        <v>708</v>
      </c>
      <c r="AE265" s="8">
        <f>AB265/AD265</f>
        <v>0.25</v>
      </c>
      <c r="AF265" s="14">
        <v>905</v>
      </c>
      <c r="AG265" s="6">
        <v>0</v>
      </c>
      <c r="AH265" s="14">
        <v>15</v>
      </c>
      <c r="AI265" s="9">
        <f>AH265+AG265+AF265</f>
        <v>920</v>
      </c>
      <c r="AJ265" s="8">
        <f>(AG265+AH265)/AI265</f>
        <v>1.6304347826086956E-2</v>
      </c>
      <c r="AK265" s="6">
        <f>SUM(E265:W265)</f>
        <v>152</v>
      </c>
    </row>
    <row r="266" spans="1:37" s="7" customFormat="1" ht="39" customHeight="1" x14ac:dyDescent="0.25">
      <c r="A266" s="13">
        <v>46154</v>
      </c>
      <c r="B266" s="21" t="s">
        <v>1</v>
      </c>
      <c r="C266" s="11" t="s">
        <v>10</v>
      </c>
      <c r="D266" s="11">
        <v>19</v>
      </c>
      <c r="E266" s="10">
        <v>49</v>
      </c>
      <c r="F266" s="10">
        <v>20</v>
      </c>
      <c r="G266" s="10">
        <v>12</v>
      </c>
      <c r="H266" s="10"/>
      <c r="I266" s="10">
        <v>46</v>
      </c>
      <c r="J266" s="10"/>
      <c r="K266" s="6"/>
      <c r="L266" s="6"/>
      <c r="M266" s="6"/>
      <c r="N266" s="6"/>
      <c r="O266" s="6"/>
      <c r="P266" s="6"/>
      <c r="Q266" s="6"/>
      <c r="R266" s="6">
        <v>20</v>
      </c>
      <c r="S266" s="6"/>
      <c r="T266" s="6"/>
      <c r="U266" s="6"/>
      <c r="V266" s="6"/>
      <c r="W266" s="6"/>
      <c r="X266" s="6"/>
      <c r="Y266" s="6"/>
      <c r="Z266" s="6">
        <v>53</v>
      </c>
      <c r="AA266" s="6"/>
      <c r="AB266" s="6">
        <f>SUM(E266:AA266)</f>
        <v>200</v>
      </c>
      <c r="AC266" s="6">
        <v>164</v>
      </c>
      <c r="AD266" s="9">
        <f>SUM(AB266:AC266)</f>
        <v>364</v>
      </c>
      <c r="AE266" s="8">
        <f>AB266/AD266</f>
        <v>0.5494505494505495</v>
      </c>
      <c r="AF266" s="6">
        <v>355</v>
      </c>
      <c r="AG266" s="6">
        <v>0</v>
      </c>
      <c r="AH266" s="6">
        <v>37</v>
      </c>
      <c r="AI266" s="9">
        <f>AH266+AG266+AF266</f>
        <v>392</v>
      </c>
      <c r="AJ266" s="8">
        <f>(AG266+AH266)/AI266</f>
        <v>9.438775510204081E-2</v>
      </c>
      <c r="AK266" s="6">
        <f>SUM(E266:W266)</f>
        <v>147</v>
      </c>
    </row>
    <row r="267" spans="1:37" s="7" customFormat="1" ht="39" customHeight="1" x14ac:dyDescent="0.25">
      <c r="A267" s="13">
        <v>46154</v>
      </c>
      <c r="B267" s="21" t="s">
        <v>1</v>
      </c>
      <c r="C267" s="11" t="s">
        <v>9</v>
      </c>
      <c r="D267" s="11">
        <v>20</v>
      </c>
      <c r="E267" s="21">
        <v>33</v>
      </c>
      <c r="F267" s="21">
        <v>35</v>
      </c>
      <c r="G267" s="21"/>
      <c r="H267" s="21">
        <v>54</v>
      </c>
      <c r="I267" s="21">
        <v>56</v>
      </c>
      <c r="J267" s="21"/>
      <c r="K267" s="21"/>
      <c r="L267" s="6"/>
      <c r="M267" s="21"/>
      <c r="N267" s="21">
        <v>12</v>
      </c>
      <c r="O267" s="21"/>
      <c r="P267" s="21"/>
      <c r="Q267" s="21"/>
      <c r="R267" s="6">
        <v>35</v>
      </c>
      <c r="S267" s="6"/>
      <c r="T267" s="6"/>
      <c r="U267" s="21"/>
      <c r="V267" s="21"/>
      <c r="W267" s="6"/>
      <c r="X267" s="6"/>
      <c r="Y267" s="6"/>
      <c r="Z267" s="6">
        <v>22</v>
      </c>
      <c r="AA267" s="6"/>
      <c r="AB267" s="6">
        <f>SUM(E267:AA267)</f>
        <v>247</v>
      </c>
      <c r="AC267" s="22">
        <v>270</v>
      </c>
      <c r="AD267" s="9">
        <f>SUM(AB267:AC267)</f>
        <v>517</v>
      </c>
      <c r="AE267" s="8">
        <f>AB267/AD267</f>
        <v>0.47775628626692457</v>
      </c>
      <c r="AF267" s="6">
        <v>390</v>
      </c>
      <c r="AG267" s="6">
        <v>0</v>
      </c>
      <c r="AH267" s="6">
        <v>15</v>
      </c>
      <c r="AI267" s="9">
        <f>AH267+AG267+AF267</f>
        <v>405</v>
      </c>
      <c r="AJ267" s="8">
        <f>(AG267+AH267)/AI267</f>
        <v>3.7037037037037035E-2</v>
      </c>
      <c r="AK267" s="6">
        <f>SUM(E267:W267)</f>
        <v>225</v>
      </c>
    </row>
    <row r="268" spans="1:37" s="7" customFormat="1" ht="39" customHeight="1" x14ac:dyDescent="0.25">
      <c r="A268" s="13">
        <v>46154</v>
      </c>
      <c r="B268" s="21" t="s">
        <v>1</v>
      </c>
      <c r="C268" s="11" t="s">
        <v>19</v>
      </c>
      <c r="D268" s="11">
        <v>21</v>
      </c>
      <c r="E268" s="10">
        <v>100</v>
      </c>
      <c r="F268" s="10">
        <v>61</v>
      </c>
      <c r="G268" s="10">
        <v>10</v>
      </c>
      <c r="H268" s="10">
        <v>25</v>
      </c>
      <c r="I268" s="10"/>
      <c r="J268" s="10"/>
      <c r="K268" s="6">
        <v>5</v>
      </c>
      <c r="L268" s="6"/>
      <c r="M268" s="6"/>
      <c r="N268" s="6"/>
      <c r="O268" s="6"/>
      <c r="P268" s="6"/>
      <c r="Q268" s="6"/>
      <c r="R268" s="6">
        <v>69</v>
      </c>
      <c r="S268" s="6"/>
      <c r="T268" s="6"/>
      <c r="U268" s="6"/>
      <c r="V268" s="6"/>
      <c r="W268" s="6"/>
      <c r="X268" s="6"/>
      <c r="Y268" s="6"/>
      <c r="Z268" s="6">
        <f>120+30</f>
        <v>150</v>
      </c>
      <c r="AA268" s="6"/>
      <c r="AB268" s="6">
        <f>SUM(E268:AA268)</f>
        <v>420</v>
      </c>
      <c r="AC268" s="6">
        <v>172</v>
      </c>
      <c r="AD268" s="9">
        <f>SUM(AB268:AC268)</f>
        <v>592</v>
      </c>
      <c r="AE268" s="8">
        <f>AB268/AD268</f>
        <v>0.70945945945945943</v>
      </c>
      <c r="AF268" s="6">
        <v>830</v>
      </c>
      <c r="AG268" s="6">
        <v>0</v>
      </c>
      <c r="AH268" s="6">
        <v>25</v>
      </c>
      <c r="AI268" s="9">
        <f>AH268+AG268+AF268</f>
        <v>855</v>
      </c>
      <c r="AJ268" s="8">
        <f>(AG268+AH268)/AI268</f>
        <v>2.9239766081871343E-2</v>
      </c>
      <c r="AK268" s="6">
        <f>SUM(E268:W268)</f>
        <v>270</v>
      </c>
    </row>
    <row r="269" spans="1:37" s="7" customFormat="1" ht="39" customHeight="1" x14ac:dyDescent="0.25">
      <c r="A269" s="13">
        <v>46154</v>
      </c>
      <c r="B269" s="21" t="s">
        <v>1</v>
      </c>
      <c r="C269" s="11" t="s">
        <v>8</v>
      </c>
      <c r="D269" s="11">
        <v>22</v>
      </c>
      <c r="E269" s="10">
        <v>23</v>
      </c>
      <c r="F269" s="10">
        <v>25</v>
      </c>
      <c r="G269" s="10">
        <v>33</v>
      </c>
      <c r="H269" s="10">
        <v>25</v>
      </c>
      <c r="I269" s="10">
        <v>15</v>
      </c>
      <c r="J269" s="10">
        <v>7</v>
      </c>
      <c r="K269" s="6"/>
      <c r="L269" s="6">
        <v>5</v>
      </c>
      <c r="M269" s="6"/>
      <c r="N269" s="6"/>
      <c r="O269" s="6">
        <v>4</v>
      </c>
      <c r="P269" s="6"/>
      <c r="Q269" s="6"/>
      <c r="R269" s="6">
        <f>25+23</f>
        <v>48</v>
      </c>
      <c r="S269" s="6"/>
      <c r="T269" s="6"/>
      <c r="U269" s="6"/>
      <c r="V269" s="6">
        <v>7</v>
      </c>
      <c r="W269" s="6"/>
      <c r="X269" s="6">
        <v>17</v>
      </c>
      <c r="Y269" s="6"/>
      <c r="Z269" s="6">
        <v>8</v>
      </c>
      <c r="AA269" s="6">
        <v>10</v>
      </c>
      <c r="AB269" s="6">
        <f>SUM(E269:AA269)</f>
        <v>227</v>
      </c>
      <c r="AC269" s="6">
        <v>307</v>
      </c>
      <c r="AD269" s="9">
        <f>SUM(AB269:AC269)</f>
        <v>534</v>
      </c>
      <c r="AE269" s="8">
        <f>AB269/AD269</f>
        <v>0.42509363295880148</v>
      </c>
      <c r="AF269" s="14">
        <v>297</v>
      </c>
      <c r="AG269" s="6">
        <v>0</v>
      </c>
      <c r="AH269" s="14">
        <v>17</v>
      </c>
      <c r="AI269" s="9">
        <f>AH269+AG269+AF269</f>
        <v>314</v>
      </c>
      <c r="AJ269" s="8">
        <f>(AG269+AH269)/AI269</f>
        <v>5.4140127388535034E-2</v>
      </c>
      <c r="AK269" s="6">
        <f>SUM(E269:W269)</f>
        <v>192</v>
      </c>
    </row>
    <row r="270" spans="1:37" s="7" customFormat="1" ht="39" customHeight="1" x14ac:dyDescent="0.25">
      <c r="A270" s="13">
        <v>46154</v>
      </c>
      <c r="B270" s="21" t="s">
        <v>1</v>
      </c>
      <c r="C270" s="11" t="s">
        <v>10</v>
      </c>
      <c r="D270" s="11">
        <v>23</v>
      </c>
      <c r="E270" s="10">
        <v>105</v>
      </c>
      <c r="F270" s="10">
        <v>49</v>
      </c>
      <c r="G270" s="10"/>
      <c r="H270" s="10">
        <v>33</v>
      </c>
      <c r="I270" s="10">
        <v>44</v>
      </c>
      <c r="J270" s="10"/>
      <c r="K270" s="6">
        <v>20</v>
      </c>
      <c r="L270" s="6">
        <v>43</v>
      </c>
      <c r="M270" s="6"/>
      <c r="N270" s="6"/>
      <c r="O270" s="6"/>
      <c r="P270" s="6"/>
      <c r="Q270" s="6"/>
      <c r="R270" s="6">
        <v>62</v>
      </c>
      <c r="S270" s="6"/>
      <c r="T270" s="6"/>
      <c r="U270" s="6"/>
      <c r="V270" s="6"/>
      <c r="W270" s="6"/>
      <c r="X270" s="6"/>
      <c r="Y270" s="6"/>
      <c r="Z270" s="6">
        <v>101</v>
      </c>
      <c r="AA270" s="6"/>
      <c r="AB270" s="6">
        <f>SUM(E270:AA270)</f>
        <v>457</v>
      </c>
      <c r="AC270" s="6">
        <v>297</v>
      </c>
      <c r="AD270" s="9">
        <f>SUM(AB270:AC270)</f>
        <v>754</v>
      </c>
      <c r="AE270" s="8">
        <f>AB270/AD270</f>
        <v>0.6061007957559682</v>
      </c>
      <c r="AF270" s="6">
        <v>438</v>
      </c>
      <c r="AG270" s="6">
        <v>0</v>
      </c>
      <c r="AH270" s="6">
        <v>38</v>
      </c>
      <c r="AI270" s="9">
        <f>AH270+AG270+AF270</f>
        <v>476</v>
      </c>
      <c r="AJ270" s="8">
        <f>(AG270+AH270)/AI270</f>
        <v>7.9831932773109238E-2</v>
      </c>
      <c r="AK270" s="6">
        <f>SUM(E270:W270)</f>
        <v>356</v>
      </c>
    </row>
    <row r="271" spans="1:37" s="7" customFormat="1" ht="39" customHeight="1" x14ac:dyDescent="0.25">
      <c r="A271" s="13">
        <v>46154</v>
      </c>
      <c r="B271" s="21" t="s">
        <v>1</v>
      </c>
      <c r="C271" s="21" t="s">
        <v>6</v>
      </c>
      <c r="D271" s="11">
        <v>24</v>
      </c>
      <c r="E271" s="10">
        <v>54</v>
      </c>
      <c r="F271" s="10">
        <v>43</v>
      </c>
      <c r="G271" s="10">
        <v>10</v>
      </c>
      <c r="H271" s="10">
        <v>27</v>
      </c>
      <c r="I271" s="10"/>
      <c r="J271" s="10"/>
      <c r="K271" s="6"/>
      <c r="L271" s="6"/>
      <c r="M271" s="6"/>
      <c r="N271" s="6">
        <v>27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>
        <v>35</v>
      </c>
      <c r="AA271" s="6"/>
      <c r="AB271" s="6">
        <f>SUM(E271:AA271)</f>
        <v>196</v>
      </c>
      <c r="AC271" s="6">
        <v>649</v>
      </c>
      <c r="AD271" s="9">
        <f>SUM(AB271:AC271)</f>
        <v>845</v>
      </c>
      <c r="AE271" s="8">
        <f>AB271/AD271</f>
        <v>0.23195266272189349</v>
      </c>
      <c r="AF271" s="6">
        <v>225</v>
      </c>
      <c r="AG271" s="6">
        <v>10</v>
      </c>
      <c r="AH271" s="6">
        <v>5</v>
      </c>
      <c r="AI271" s="9">
        <f>AH271+AG271+AF271</f>
        <v>240</v>
      </c>
      <c r="AJ271" s="8">
        <f>(AG271+AH271)/AI271</f>
        <v>6.25E-2</v>
      </c>
      <c r="AK271" s="6">
        <f>SUM(E271:W271)</f>
        <v>161</v>
      </c>
    </row>
    <row r="272" spans="1:37" s="7" customFormat="1" ht="39" customHeight="1" x14ac:dyDescent="0.25">
      <c r="A272" s="13">
        <v>46154</v>
      </c>
      <c r="B272" s="27" t="s">
        <v>5</v>
      </c>
      <c r="C272" s="27" t="s">
        <v>4</v>
      </c>
      <c r="D272" s="11">
        <v>25</v>
      </c>
      <c r="E272" s="10">
        <v>50</v>
      </c>
      <c r="F272" s="10">
        <v>45</v>
      </c>
      <c r="G272" s="10">
        <v>61</v>
      </c>
      <c r="H272" s="10"/>
      <c r="I272" s="10"/>
      <c r="J272" s="10">
        <v>60</v>
      </c>
      <c r="K272" s="6">
        <v>10</v>
      </c>
      <c r="L272" s="6"/>
      <c r="M272" s="6"/>
      <c r="N272" s="6"/>
      <c r="O272" s="6"/>
      <c r="P272" s="6"/>
      <c r="Q272" s="6"/>
      <c r="R272" s="6">
        <v>40</v>
      </c>
      <c r="S272" s="6"/>
      <c r="T272" s="6"/>
      <c r="U272" s="6"/>
      <c r="V272" s="6"/>
      <c r="W272" s="6"/>
      <c r="X272" s="6"/>
      <c r="Y272" s="6"/>
      <c r="Z272" s="6">
        <v>110</v>
      </c>
      <c r="AA272" s="6"/>
      <c r="AB272" s="6">
        <f>SUM(E272:AA272)</f>
        <v>376</v>
      </c>
      <c r="AC272" s="6">
        <v>122</v>
      </c>
      <c r="AD272" s="9">
        <f>SUM(AB272:AC272)</f>
        <v>498</v>
      </c>
      <c r="AE272" s="8">
        <f>AB272/AD272</f>
        <v>0.75502008032128509</v>
      </c>
      <c r="AF272" s="6">
        <v>645</v>
      </c>
      <c r="AG272" s="6">
        <v>17</v>
      </c>
      <c r="AH272" s="14">
        <v>12</v>
      </c>
      <c r="AI272" s="9">
        <f>AH272+AG272+AF272</f>
        <v>674</v>
      </c>
      <c r="AJ272" s="8">
        <f>(AG272+AH272)/AI272</f>
        <v>4.3026706231454007E-2</v>
      </c>
      <c r="AK272" s="6">
        <f>SUM(E272:W272)</f>
        <v>266</v>
      </c>
    </row>
    <row r="273" spans="1:37" s="7" customFormat="1" ht="39" customHeight="1" x14ac:dyDescent="0.25">
      <c r="A273" s="13">
        <v>46154</v>
      </c>
      <c r="B273" s="27" t="s">
        <v>5</v>
      </c>
      <c r="C273" s="27" t="s">
        <v>4</v>
      </c>
      <c r="D273" s="11">
        <v>26</v>
      </c>
      <c r="E273" s="10">
        <v>10</v>
      </c>
      <c r="F273" s="10">
        <v>11</v>
      </c>
      <c r="G273" s="10">
        <v>10</v>
      </c>
      <c r="H273" s="10"/>
      <c r="I273" s="10"/>
      <c r="J273" s="10">
        <v>23</v>
      </c>
      <c r="K273" s="6"/>
      <c r="L273" s="6"/>
      <c r="M273" s="6"/>
      <c r="N273" s="6"/>
      <c r="O273" s="6"/>
      <c r="P273" s="6"/>
      <c r="Q273" s="6"/>
      <c r="R273" s="6">
        <v>19</v>
      </c>
      <c r="S273" s="6"/>
      <c r="T273" s="6"/>
      <c r="U273" s="6"/>
      <c r="V273" s="6"/>
      <c r="W273" s="6"/>
      <c r="X273" s="6"/>
      <c r="Y273" s="6"/>
      <c r="Z273" s="6">
        <v>2</v>
      </c>
      <c r="AA273" s="6"/>
      <c r="AB273" s="6">
        <f>SUM(E273:AA273)</f>
        <v>75</v>
      </c>
      <c r="AC273" s="6">
        <v>240</v>
      </c>
      <c r="AD273" s="9">
        <f>SUM(AB273:AC273)</f>
        <v>315</v>
      </c>
      <c r="AE273" s="8">
        <f>AB273/AD273</f>
        <v>0.23809523809523808</v>
      </c>
      <c r="AF273" s="6">
        <v>920</v>
      </c>
      <c r="AG273" s="6">
        <v>11</v>
      </c>
      <c r="AH273" s="14">
        <v>0</v>
      </c>
      <c r="AI273" s="9">
        <f>AH273+AG273+AF273</f>
        <v>931</v>
      </c>
      <c r="AJ273" s="8">
        <f>(AG273+AH273)/AI273</f>
        <v>1.1815252416756176E-2</v>
      </c>
      <c r="AK273" s="6">
        <f>SUM(E273:W273)</f>
        <v>73</v>
      </c>
    </row>
    <row r="274" spans="1:37" s="7" customFormat="1" ht="39" customHeight="1" x14ac:dyDescent="0.25">
      <c r="A274" s="13">
        <v>46154</v>
      </c>
      <c r="B274" s="27" t="s">
        <v>5</v>
      </c>
      <c r="C274" s="27" t="s">
        <v>4</v>
      </c>
      <c r="D274" s="11">
        <v>27</v>
      </c>
      <c r="E274" s="10">
        <v>14</v>
      </c>
      <c r="F274" s="10">
        <v>9</v>
      </c>
      <c r="G274" s="10">
        <v>3</v>
      </c>
      <c r="H274" s="10"/>
      <c r="I274" s="10"/>
      <c r="J274" s="10"/>
      <c r="K274" s="6"/>
      <c r="L274" s="6"/>
      <c r="M274" s="6"/>
      <c r="N274" s="6"/>
      <c r="O274" s="6"/>
      <c r="P274" s="6"/>
      <c r="Q274" s="6"/>
      <c r="R274" s="6">
        <v>16</v>
      </c>
      <c r="S274" s="6"/>
      <c r="T274" s="6"/>
      <c r="U274" s="6"/>
      <c r="V274" s="6"/>
      <c r="W274" s="6"/>
      <c r="X274" s="6"/>
      <c r="Y274" s="6"/>
      <c r="Z274" s="6">
        <v>8</v>
      </c>
      <c r="AA274" s="6"/>
      <c r="AB274" s="6">
        <f>SUM(E274:AA274)</f>
        <v>50</v>
      </c>
      <c r="AC274" s="6">
        <v>53</v>
      </c>
      <c r="AD274" s="9">
        <f>SUM(AB274:AC274)</f>
        <v>103</v>
      </c>
      <c r="AE274" s="8">
        <f>AB274/AD274</f>
        <v>0.4854368932038835</v>
      </c>
      <c r="AF274" s="14">
        <v>620</v>
      </c>
      <c r="AG274" s="6">
        <v>12</v>
      </c>
      <c r="AH274" s="14">
        <v>10</v>
      </c>
      <c r="AI274" s="9">
        <f>AH274+AG274+AF274</f>
        <v>642</v>
      </c>
      <c r="AJ274" s="8">
        <f>(AG274+AH274)/AI274</f>
        <v>3.4267912772585667E-2</v>
      </c>
      <c r="AK274" s="6">
        <f>SUM(E274:W274)</f>
        <v>42</v>
      </c>
    </row>
    <row r="275" spans="1:37" s="7" customFormat="1" ht="39" customHeight="1" x14ac:dyDescent="0.25">
      <c r="A275" s="13">
        <v>46154</v>
      </c>
      <c r="B275" s="21" t="s">
        <v>1</v>
      </c>
      <c r="C275" s="11" t="s">
        <v>0</v>
      </c>
      <c r="D275" s="11">
        <v>28</v>
      </c>
      <c r="E275" s="10">
        <v>60</v>
      </c>
      <c r="F275" s="10">
        <v>60</v>
      </c>
      <c r="G275" s="10">
        <v>45</v>
      </c>
      <c r="H275" s="10">
        <v>20</v>
      </c>
      <c r="I275" s="10">
        <v>25</v>
      </c>
      <c r="J275" s="10">
        <v>48</v>
      </c>
      <c r="K275" s="6">
        <v>5</v>
      </c>
      <c r="L275" s="6">
        <v>10</v>
      </c>
      <c r="M275" s="6"/>
      <c r="N275" s="6"/>
      <c r="O275" s="6"/>
      <c r="P275" s="6"/>
      <c r="Q275" s="6"/>
      <c r="R275" s="6">
        <v>35</v>
      </c>
      <c r="S275" s="6"/>
      <c r="T275" s="6"/>
      <c r="U275" s="6"/>
      <c r="V275" s="6"/>
      <c r="W275" s="6"/>
      <c r="X275" s="6"/>
      <c r="Y275" s="6"/>
      <c r="Z275" s="6">
        <v>10</v>
      </c>
      <c r="AA275" s="6"/>
      <c r="AB275" s="6">
        <f>SUM(E275:AA275)</f>
        <v>318</v>
      </c>
      <c r="AC275" s="6">
        <v>19</v>
      </c>
      <c r="AD275" s="9">
        <f>SUM(AB275:AC275)</f>
        <v>337</v>
      </c>
      <c r="AE275" s="8">
        <f>AB275/AD275</f>
        <v>0.94362017804154308</v>
      </c>
      <c r="AF275" s="14">
        <v>468</v>
      </c>
      <c r="AG275" s="6">
        <v>4</v>
      </c>
      <c r="AH275" s="14">
        <v>26</v>
      </c>
      <c r="AI275" s="9">
        <f>AH275+AG275+AF275</f>
        <v>498</v>
      </c>
      <c r="AJ275" s="8">
        <f>(AG275+AH275)/AI275</f>
        <v>6.0240963855421686E-2</v>
      </c>
      <c r="AK275" s="6">
        <f>SUM(E275:W275)</f>
        <v>308</v>
      </c>
    </row>
    <row r="276" spans="1:37" s="7" customFormat="1" ht="39" customHeight="1" x14ac:dyDescent="0.25">
      <c r="A276" s="20">
        <v>46155</v>
      </c>
      <c r="B276" s="19" t="s">
        <v>1</v>
      </c>
      <c r="C276" s="25" t="s">
        <v>3</v>
      </c>
      <c r="D276" s="25">
        <v>1</v>
      </c>
      <c r="E276" s="24">
        <v>35</v>
      </c>
      <c r="F276" s="24">
        <v>35</v>
      </c>
      <c r="G276" s="24">
        <v>18</v>
      </c>
      <c r="H276" s="24"/>
      <c r="I276" s="24"/>
      <c r="J276" s="24"/>
      <c r="K276" s="15"/>
      <c r="L276" s="15"/>
      <c r="M276" s="15"/>
      <c r="N276" s="15">
        <v>4</v>
      </c>
      <c r="O276" s="15"/>
      <c r="P276" s="15"/>
      <c r="Q276" s="15"/>
      <c r="R276" s="15">
        <v>5</v>
      </c>
      <c r="S276" s="15"/>
      <c r="T276" s="15"/>
      <c r="U276" s="15"/>
      <c r="V276" s="15"/>
      <c r="W276" s="15"/>
      <c r="X276" s="15"/>
      <c r="Y276" s="15"/>
      <c r="Z276" s="15">
        <v>7</v>
      </c>
      <c r="AA276" s="15"/>
      <c r="AB276" s="15">
        <f>SUM(E276:AA276)</f>
        <v>104</v>
      </c>
      <c r="AC276" s="15">
        <v>167</v>
      </c>
      <c r="AD276" s="17">
        <f>SUM(AB276:AC276)</f>
        <v>271</v>
      </c>
      <c r="AE276" s="16">
        <f>AB276/AD276</f>
        <v>0.3837638376383764</v>
      </c>
      <c r="AF276" s="15">
        <v>861</v>
      </c>
      <c r="AG276" s="15">
        <v>0</v>
      </c>
      <c r="AH276" s="15">
        <v>0</v>
      </c>
      <c r="AI276" s="17">
        <f>AH276+AG276+AF276</f>
        <v>861</v>
      </c>
      <c r="AJ276" s="16">
        <f>(AG276+AH276)/AI276</f>
        <v>0</v>
      </c>
      <c r="AK276" s="15">
        <f>SUM(E276:W276)</f>
        <v>97</v>
      </c>
    </row>
    <row r="277" spans="1:37" s="7" customFormat="1" ht="39" customHeight="1" x14ac:dyDescent="0.25">
      <c r="A277" s="13">
        <v>46155</v>
      </c>
      <c r="B277" s="21" t="s">
        <v>1</v>
      </c>
      <c r="C277" s="11" t="s">
        <v>21</v>
      </c>
      <c r="D277" s="11">
        <v>2</v>
      </c>
      <c r="E277" s="6">
        <v>115</v>
      </c>
      <c r="F277" s="10">
        <v>110</v>
      </c>
      <c r="G277" s="10"/>
      <c r="H277" s="10">
        <v>27</v>
      </c>
      <c r="I277" s="10"/>
      <c r="J277" s="10">
        <v>45</v>
      </c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>
        <v>29</v>
      </c>
      <c r="AA277" s="6"/>
      <c r="AB277" s="6">
        <f>SUM(E277:AA277)</f>
        <v>326</v>
      </c>
      <c r="AC277" s="6">
        <v>141</v>
      </c>
      <c r="AD277" s="9">
        <f>SUM(AB277:AC277)</f>
        <v>467</v>
      </c>
      <c r="AE277" s="8">
        <f>AB277/AD277</f>
        <v>0.69807280513918635</v>
      </c>
      <c r="AF277" s="14">
        <v>776</v>
      </c>
      <c r="AG277" s="6">
        <v>0</v>
      </c>
      <c r="AH277" s="14">
        <v>0</v>
      </c>
      <c r="AI277" s="9">
        <f>AH277+AG277+AF277</f>
        <v>776</v>
      </c>
      <c r="AJ277" s="8">
        <f>(AG277+AH277)/AI277</f>
        <v>0</v>
      </c>
      <c r="AK277" s="6">
        <f>SUM(E277:W277)</f>
        <v>297</v>
      </c>
    </row>
    <row r="278" spans="1:37" s="7" customFormat="1" ht="39" customHeight="1" x14ac:dyDescent="0.25">
      <c r="A278" s="13">
        <v>46155</v>
      </c>
      <c r="B278" s="21" t="s">
        <v>1</v>
      </c>
      <c r="C278" s="11" t="s">
        <v>16</v>
      </c>
      <c r="D278" s="11">
        <v>3</v>
      </c>
      <c r="E278" s="10">
        <v>22</v>
      </c>
      <c r="F278" s="10">
        <v>34</v>
      </c>
      <c r="G278" s="10">
        <v>20</v>
      </c>
      <c r="H278" s="10"/>
      <c r="I278" s="10"/>
      <c r="J278" s="10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>
        <v>24</v>
      </c>
      <c r="AA278" s="6"/>
      <c r="AB278" s="6">
        <f>SUM(E278:AA278)</f>
        <v>100</v>
      </c>
      <c r="AC278" s="6">
        <v>146</v>
      </c>
      <c r="AD278" s="9">
        <f>SUM(AB278:AC278)</f>
        <v>246</v>
      </c>
      <c r="AE278" s="8">
        <f>AB278/AD278</f>
        <v>0.4065040650406504</v>
      </c>
      <c r="AF278" s="6">
        <v>945</v>
      </c>
      <c r="AG278" s="6">
        <v>0</v>
      </c>
      <c r="AH278" s="6">
        <v>5</v>
      </c>
      <c r="AI278" s="9">
        <f>AH278+AG278+AF278</f>
        <v>950</v>
      </c>
      <c r="AJ278" s="8">
        <f>(AG278+AH278)/AI278</f>
        <v>5.263157894736842E-3</v>
      </c>
      <c r="AK278" s="6">
        <f>SUM(E278:W278)</f>
        <v>76</v>
      </c>
    </row>
    <row r="279" spans="1:37" s="7" customFormat="1" ht="39" customHeight="1" x14ac:dyDescent="0.25">
      <c r="A279" s="13">
        <v>46155</v>
      </c>
      <c r="B279" s="21" t="s">
        <v>1</v>
      </c>
      <c r="C279" s="11" t="s">
        <v>16</v>
      </c>
      <c r="D279" s="11">
        <v>4</v>
      </c>
      <c r="E279" s="6">
        <v>21</v>
      </c>
      <c r="F279" s="10">
        <v>68</v>
      </c>
      <c r="G279" s="10"/>
      <c r="H279" s="10">
        <v>45</v>
      </c>
      <c r="I279" s="10"/>
      <c r="J279" s="10"/>
      <c r="K279" s="6"/>
      <c r="L279" s="6"/>
      <c r="M279" s="6"/>
      <c r="N279" s="6"/>
      <c r="O279" s="6"/>
      <c r="P279" s="6"/>
      <c r="Q279" s="6"/>
      <c r="R279" s="6">
        <v>115</v>
      </c>
      <c r="S279" s="6"/>
      <c r="T279" s="6"/>
      <c r="U279" s="6"/>
      <c r="V279" s="6"/>
      <c r="W279" s="6"/>
      <c r="X279" s="6"/>
      <c r="Y279" s="6"/>
      <c r="Z279" s="6">
        <f>13+21</f>
        <v>34</v>
      </c>
      <c r="AA279" s="6"/>
      <c r="AB279" s="6">
        <f>SUM(E279:AA279)</f>
        <v>283</v>
      </c>
      <c r="AC279" s="6">
        <v>474</v>
      </c>
      <c r="AD279" s="9">
        <f>SUM(AB279:AC279)</f>
        <v>757</v>
      </c>
      <c r="AE279" s="8">
        <f>AB279/AD279</f>
        <v>0.37384412153236457</v>
      </c>
      <c r="AF279" s="14">
        <v>835</v>
      </c>
      <c r="AG279" s="6">
        <v>0</v>
      </c>
      <c r="AH279" s="14">
        <v>0</v>
      </c>
      <c r="AI279" s="9">
        <f>AH279+AG279+AF279</f>
        <v>835</v>
      </c>
      <c r="AJ279" s="8">
        <f>(AG279+AH279)/AI279</f>
        <v>0</v>
      </c>
      <c r="AK279" s="6">
        <f>SUM(E279:W279)</f>
        <v>249</v>
      </c>
    </row>
    <row r="280" spans="1:37" s="7" customFormat="1" ht="39" customHeight="1" x14ac:dyDescent="0.25">
      <c r="A280" s="13">
        <v>46155</v>
      </c>
      <c r="B280" s="12" t="s">
        <v>1</v>
      </c>
      <c r="C280" s="11" t="s">
        <v>16</v>
      </c>
      <c r="D280" s="21">
        <v>5</v>
      </c>
      <c r="E280" s="6">
        <v>52</v>
      </c>
      <c r="F280" s="10">
        <v>83</v>
      </c>
      <c r="G280" s="10"/>
      <c r="H280" s="10"/>
      <c r="I280" s="10"/>
      <c r="J280" s="10"/>
      <c r="K280" s="6"/>
      <c r="L280" s="6"/>
      <c r="M280" s="6"/>
      <c r="N280" s="6"/>
      <c r="O280" s="6"/>
      <c r="P280" s="6"/>
      <c r="Q280" s="6"/>
      <c r="R280" s="6">
        <v>3</v>
      </c>
      <c r="S280" s="6"/>
      <c r="T280" s="6"/>
      <c r="U280" s="6"/>
      <c r="V280" s="6"/>
      <c r="W280" s="6"/>
      <c r="X280" s="6"/>
      <c r="Y280" s="6"/>
      <c r="Z280" s="6"/>
      <c r="AA280" s="6"/>
      <c r="AB280" s="6">
        <f>SUM(E280:AA280)</f>
        <v>138</v>
      </c>
      <c r="AC280" s="6">
        <v>403</v>
      </c>
      <c r="AD280" s="9">
        <f>SUM(AB280:AC280)</f>
        <v>541</v>
      </c>
      <c r="AE280" s="8">
        <f>AB280/AD280</f>
        <v>0.25508317929759705</v>
      </c>
      <c r="AF280" s="6">
        <v>773</v>
      </c>
      <c r="AG280" s="6">
        <v>0</v>
      </c>
      <c r="AH280" s="6">
        <v>28</v>
      </c>
      <c r="AI280" s="9">
        <f>AH280+AG280+AF280</f>
        <v>801</v>
      </c>
      <c r="AJ280" s="8">
        <f>(AG280+AH280)/AI280</f>
        <v>3.495630461922597E-2</v>
      </c>
      <c r="AK280" s="6">
        <f>SUM(E280:W280)</f>
        <v>138</v>
      </c>
    </row>
    <row r="281" spans="1:37" s="7" customFormat="1" ht="39" customHeight="1" x14ac:dyDescent="0.25">
      <c r="A281" s="13">
        <v>46155</v>
      </c>
      <c r="B281" s="21" t="s">
        <v>1</v>
      </c>
      <c r="C281" s="11" t="s">
        <v>15</v>
      </c>
      <c r="D281" s="11">
        <v>6</v>
      </c>
      <c r="E281" s="10">
        <v>100</v>
      </c>
      <c r="F281" s="10">
        <v>113</v>
      </c>
      <c r="G281" s="10">
        <v>82</v>
      </c>
      <c r="H281" s="10">
        <v>81</v>
      </c>
      <c r="I281" s="10">
        <v>11</v>
      </c>
      <c r="J281" s="10"/>
      <c r="K281" s="6"/>
      <c r="L281" s="6"/>
      <c r="M281" s="6"/>
      <c r="N281" s="6"/>
      <c r="O281" s="6"/>
      <c r="P281" s="6"/>
      <c r="Q281" s="6"/>
      <c r="R281" s="6">
        <v>36</v>
      </c>
      <c r="S281" s="6"/>
      <c r="T281" s="6"/>
      <c r="U281" s="6"/>
      <c r="V281" s="6"/>
      <c r="W281" s="6"/>
      <c r="X281" s="6"/>
      <c r="Y281" s="6"/>
      <c r="Z281" s="6">
        <v>109</v>
      </c>
      <c r="AA281" s="6"/>
      <c r="AB281" s="6">
        <f>SUM(E281:AA281)</f>
        <v>532</v>
      </c>
      <c r="AC281" s="6">
        <v>466</v>
      </c>
      <c r="AD281" s="9">
        <f>SUM(AB281:AC281)</f>
        <v>998</v>
      </c>
      <c r="AE281" s="8">
        <f>AB281/AD281</f>
        <v>0.53306613226452904</v>
      </c>
      <c r="AF281" s="14">
        <v>829</v>
      </c>
      <c r="AG281" s="6">
        <v>0</v>
      </c>
      <c r="AH281" s="14">
        <v>0</v>
      </c>
      <c r="AI281" s="9">
        <f>AH281+AG281+AF281</f>
        <v>829</v>
      </c>
      <c r="AJ281" s="8">
        <f>(AG281+AH281)/AI281</f>
        <v>0</v>
      </c>
      <c r="AK281" s="6">
        <f>SUM(E281:W281)</f>
        <v>423</v>
      </c>
    </row>
    <row r="282" spans="1:37" s="7" customFormat="1" ht="39" customHeight="1" x14ac:dyDescent="0.25">
      <c r="A282" s="13">
        <v>46155</v>
      </c>
      <c r="B282" s="12" t="s">
        <v>1</v>
      </c>
      <c r="C282" s="11" t="s">
        <v>14</v>
      </c>
      <c r="D282" s="11">
        <v>7</v>
      </c>
      <c r="E282" s="10">
        <v>30</v>
      </c>
      <c r="F282" s="10">
        <v>48</v>
      </c>
      <c r="G282" s="10"/>
      <c r="H282" s="10">
        <v>20</v>
      </c>
      <c r="I282" s="10"/>
      <c r="J282" s="10"/>
      <c r="K282" s="6">
        <v>30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>
        <v>24</v>
      </c>
      <c r="AA282" s="6"/>
      <c r="AB282" s="6">
        <f>SUM(E282:AA282)</f>
        <v>152</v>
      </c>
      <c r="AC282" s="6">
        <v>1098</v>
      </c>
      <c r="AD282" s="9">
        <f>SUM(AB282:AC282)</f>
        <v>1250</v>
      </c>
      <c r="AE282" s="8">
        <f>AB282/AD282</f>
        <v>0.1216</v>
      </c>
      <c r="AF282" s="6">
        <v>838</v>
      </c>
      <c r="AG282" s="6">
        <v>10</v>
      </c>
      <c r="AH282" s="6">
        <v>8</v>
      </c>
      <c r="AI282" s="9">
        <f>AH282+AG282+AF282</f>
        <v>856</v>
      </c>
      <c r="AJ282" s="8">
        <f>(AG282+AH282)/AI282</f>
        <v>2.1028037383177569E-2</v>
      </c>
      <c r="AK282" s="6">
        <f>SUM(E282:W282)</f>
        <v>128</v>
      </c>
    </row>
    <row r="283" spans="1:37" s="7" customFormat="1" ht="39" customHeight="1" x14ac:dyDescent="0.25">
      <c r="A283" s="13">
        <v>46155</v>
      </c>
      <c r="B283" s="12" t="s">
        <v>1</v>
      </c>
      <c r="C283" s="11" t="s">
        <v>13</v>
      </c>
      <c r="D283" s="11">
        <v>8</v>
      </c>
      <c r="E283" s="10">
        <v>128</v>
      </c>
      <c r="F283" s="10">
        <v>168</v>
      </c>
      <c r="G283" s="10">
        <v>49</v>
      </c>
      <c r="H283" s="10"/>
      <c r="I283" s="10"/>
      <c r="J283" s="10"/>
      <c r="K283" s="6"/>
      <c r="L283" s="6"/>
      <c r="M283" s="6"/>
      <c r="N283" s="6"/>
      <c r="O283" s="6"/>
      <c r="P283" s="6"/>
      <c r="Q283" s="6"/>
      <c r="R283" s="6">
        <v>60</v>
      </c>
      <c r="S283" s="6"/>
      <c r="T283" s="6"/>
      <c r="U283" s="6"/>
      <c r="V283" s="6"/>
      <c r="W283" s="6"/>
      <c r="X283" s="6"/>
      <c r="Y283" s="6"/>
      <c r="Z283" s="6">
        <f>20+26+16+26</f>
        <v>88</v>
      </c>
      <c r="AA283" s="6"/>
      <c r="AB283" s="6">
        <f>SUM(E283:AA283)</f>
        <v>493</v>
      </c>
      <c r="AC283" s="6">
        <v>739</v>
      </c>
      <c r="AD283" s="9">
        <f>SUM(AB283:AC283)</f>
        <v>1232</v>
      </c>
      <c r="AE283" s="8">
        <f>AB283/AD283</f>
        <v>0.40016233766233766</v>
      </c>
      <c r="AF283" s="6">
        <v>920</v>
      </c>
      <c r="AG283" s="6">
        <v>0</v>
      </c>
      <c r="AH283" s="6">
        <v>11</v>
      </c>
      <c r="AI283" s="9">
        <f>AH283+AG283+AF283</f>
        <v>931</v>
      </c>
      <c r="AJ283" s="8">
        <f>(AG283+AH283)/AI283</f>
        <v>1.1815252416756176E-2</v>
      </c>
      <c r="AK283" s="6">
        <f>SUM(E283:W283)</f>
        <v>405</v>
      </c>
    </row>
    <row r="284" spans="1:37" s="7" customFormat="1" ht="39" customHeight="1" x14ac:dyDescent="0.25">
      <c r="A284" s="13">
        <v>46155</v>
      </c>
      <c r="B284" s="21" t="s">
        <v>1</v>
      </c>
      <c r="C284" s="11" t="s">
        <v>12</v>
      </c>
      <c r="D284" s="11">
        <v>9</v>
      </c>
      <c r="E284" s="10">
        <v>112</v>
      </c>
      <c r="F284" s="10">
        <v>15</v>
      </c>
      <c r="G284" s="10">
        <v>135</v>
      </c>
      <c r="H284" s="10">
        <v>11</v>
      </c>
      <c r="I284" s="10"/>
      <c r="J284" s="10">
        <v>128</v>
      </c>
      <c r="K284" s="6">
        <v>33</v>
      </c>
      <c r="L284" s="6">
        <v>128</v>
      </c>
      <c r="M284" s="6"/>
      <c r="N284" s="6"/>
      <c r="O284" s="6"/>
      <c r="P284" s="6"/>
      <c r="Q284" s="6"/>
      <c r="R284" s="6">
        <v>160</v>
      </c>
      <c r="S284" s="6"/>
      <c r="T284" s="6"/>
      <c r="U284" s="6"/>
      <c r="V284" s="6"/>
      <c r="W284" s="6"/>
      <c r="X284" s="6">
        <v>20</v>
      </c>
      <c r="Y284" s="6"/>
      <c r="Z284" s="6">
        <v>49</v>
      </c>
      <c r="AA284" s="6"/>
      <c r="AB284" s="6">
        <f>SUM(E284:AA284)</f>
        <v>791</v>
      </c>
      <c r="AC284" s="6">
        <v>806</v>
      </c>
      <c r="AD284" s="9">
        <f>SUM(AB284:AC284)</f>
        <v>1597</v>
      </c>
      <c r="AE284" s="8">
        <f>AB284/AD284</f>
        <v>0.49530369442705074</v>
      </c>
      <c r="AF284" s="14">
        <v>999</v>
      </c>
      <c r="AG284" s="6">
        <v>5</v>
      </c>
      <c r="AH284" s="14">
        <v>15</v>
      </c>
      <c r="AI284" s="9">
        <f>AH284+AG284+AF284</f>
        <v>1019</v>
      </c>
      <c r="AJ284" s="8">
        <f>(AG284+AH284)/AI284</f>
        <v>1.9627085377821395E-2</v>
      </c>
      <c r="AK284" s="6">
        <f>SUM(E284:W284)</f>
        <v>722</v>
      </c>
    </row>
    <row r="285" spans="1:37" s="7" customFormat="1" ht="39" customHeight="1" x14ac:dyDescent="0.25">
      <c r="A285" s="13">
        <v>46155</v>
      </c>
      <c r="B285" s="12" t="s">
        <v>1</v>
      </c>
      <c r="C285" s="11" t="s">
        <v>0</v>
      </c>
      <c r="D285" s="11">
        <v>10</v>
      </c>
      <c r="E285" s="10">
        <v>47</v>
      </c>
      <c r="F285" s="10">
        <v>74</v>
      </c>
      <c r="G285" s="10">
        <v>21</v>
      </c>
      <c r="H285" s="10">
        <v>8</v>
      </c>
      <c r="I285" s="10"/>
      <c r="J285" s="10"/>
      <c r="K285" s="6"/>
      <c r="L285" s="6">
        <v>11</v>
      </c>
      <c r="M285" s="6"/>
      <c r="N285" s="6"/>
      <c r="O285" s="6"/>
      <c r="P285" s="6"/>
      <c r="Q285" s="6"/>
      <c r="R285" s="6">
        <v>31</v>
      </c>
      <c r="S285" s="6"/>
      <c r="T285" s="6"/>
      <c r="U285" s="6"/>
      <c r="V285" s="6"/>
      <c r="W285" s="6"/>
      <c r="X285" s="6"/>
      <c r="Y285" s="6"/>
      <c r="Z285" s="6">
        <v>21</v>
      </c>
      <c r="AA285" s="6">
        <v>11</v>
      </c>
      <c r="AB285" s="6">
        <f>SUM(E285:AA285)</f>
        <v>224</v>
      </c>
      <c r="AC285" s="6">
        <v>140</v>
      </c>
      <c r="AD285" s="9">
        <f>SUM(AB285:AC285)</f>
        <v>364</v>
      </c>
      <c r="AE285" s="8">
        <f>AB285/AD285</f>
        <v>0.61538461538461542</v>
      </c>
      <c r="AF285" s="6">
        <v>145</v>
      </c>
      <c r="AG285" s="6">
        <v>10</v>
      </c>
      <c r="AH285" s="6">
        <v>5</v>
      </c>
      <c r="AI285" s="9">
        <f>AH285+AG285+AF285</f>
        <v>160</v>
      </c>
      <c r="AJ285" s="8">
        <f>(AG285+AH285)/AI285</f>
        <v>9.375E-2</v>
      </c>
      <c r="AK285" s="6">
        <f>SUM(E285:W285)</f>
        <v>192</v>
      </c>
    </row>
    <row r="286" spans="1:37" s="7" customFormat="1" ht="39" customHeight="1" x14ac:dyDescent="0.25">
      <c r="A286" s="13">
        <v>46155</v>
      </c>
      <c r="B286" s="12" t="s">
        <v>1</v>
      </c>
      <c r="C286" s="11" t="s">
        <v>10</v>
      </c>
      <c r="D286" s="11">
        <v>11</v>
      </c>
      <c r="E286" s="10">
        <v>85</v>
      </c>
      <c r="F286" s="10">
        <v>90</v>
      </c>
      <c r="G286" s="10">
        <v>14</v>
      </c>
      <c r="H286" s="10">
        <v>52</v>
      </c>
      <c r="I286" s="10"/>
      <c r="J286" s="10">
        <v>8</v>
      </c>
      <c r="K286" s="6"/>
      <c r="L286" s="6" t="s">
        <v>20</v>
      </c>
      <c r="M286" s="6"/>
      <c r="N286" s="6"/>
      <c r="O286" s="6"/>
      <c r="P286" s="6"/>
      <c r="Q286" s="6"/>
      <c r="R286" s="6">
        <v>65</v>
      </c>
      <c r="S286" s="6"/>
      <c r="T286" s="6"/>
      <c r="U286" s="6"/>
      <c r="V286" s="6"/>
      <c r="W286" s="6"/>
      <c r="X286" s="6"/>
      <c r="Y286" s="6"/>
      <c r="Z286" s="6">
        <v>108</v>
      </c>
      <c r="AA286" s="6"/>
      <c r="AB286" s="6">
        <f>SUM(E286:AA286)</f>
        <v>422</v>
      </c>
      <c r="AC286" s="6">
        <v>325</v>
      </c>
      <c r="AD286" s="9">
        <f>SUM(AB286:AC286)</f>
        <v>747</v>
      </c>
      <c r="AE286" s="8">
        <f>AB286/AD286</f>
        <v>0.56492637215528785</v>
      </c>
      <c r="AF286" s="14">
        <v>148</v>
      </c>
      <c r="AG286" s="6">
        <v>0</v>
      </c>
      <c r="AH286" s="14">
        <v>10</v>
      </c>
      <c r="AI286" s="9">
        <f>AH286+AG286+AF286</f>
        <v>158</v>
      </c>
      <c r="AJ286" s="8">
        <f>(AG286+AH286)/AI286</f>
        <v>6.3291139240506333E-2</v>
      </c>
      <c r="AK286" s="6">
        <f>SUM(E286:W286)</f>
        <v>314</v>
      </c>
    </row>
    <row r="287" spans="1:37" s="7" customFormat="1" ht="39" customHeight="1" x14ac:dyDescent="0.25">
      <c r="A287" s="13">
        <v>46155</v>
      </c>
      <c r="B287" s="21" t="s">
        <v>1</v>
      </c>
      <c r="C287" s="11" t="s">
        <v>18</v>
      </c>
      <c r="D287" s="11">
        <v>13</v>
      </c>
      <c r="E287" s="6">
        <v>128</v>
      </c>
      <c r="F287" s="10">
        <v>157</v>
      </c>
      <c r="G287" s="10">
        <v>82</v>
      </c>
      <c r="H287" s="10">
        <v>51</v>
      </c>
      <c r="I287" s="10"/>
      <c r="J287" s="10"/>
      <c r="K287" s="6"/>
      <c r="L287" s="6"/>
      <c r="M287" s="6"/>
      <c r="N287" s="6"/>
      <c r="O287" s="6"/>
      <c r="P287" s="6"/>
      <c r="Q287" s="6"/>
      <c r="R287" s="6">
        <v>70</v>
      </c>
      <c r="S287" s="6"/>
      <c r="T287" s="6"/>
      <c r="U287" s="6"/>
      <c r="V287" s="6"/>
      <c r="W287" s="6"/>
      <c r="X287" s="6"/>
      <c r="Y287" s="6"/>
      <c r="Z287" s="6">
        <v>42</v>
      </c>
      <c r="AA287" s="6"/>
      <c r="AB287" s="6">
        <f>SUM(E287:AA287)</f>
        <v>530</v>
      </c>
      <c r="AC287" s="6">
        <v>469</v>
      </c>
      <c r="AD287" s="9">
        <f>SUM(AB287:AC287)</f>
        <v>999</v>
      </c>
      <c r="AE287" s="8">
        <f>AB287/AD287</f>
        <v>0.53053053053053056</v>
      </c>
      <c r="AF287" s="6">
        <v>758</v>
      </c>
      <c r="AG287" s="6">
        <v>16</v>
      </c>
      <c r="AH287" s="6">
        <v>0</v>
      </c>
      <c r="AI287" s="9">
        <f>AH287+AG287+AF287</f>
        <v>774</v>
      </c>
      <c r="AJ287" s="8">
        <f>(AG287+AH287)/AI287</f>
        <v>2.0671834625322998E-2</v>
      </c>
      <c r="AK287" s="6">
        <f>SUM(E287:W287)</f>
        <v>488</v>
      </c>
    </row>
    <row r="288" spans="1:37" s="7" customFormat="1" ht="39" customHeight="1" x14ac:dyDescent="0.25">
      <c r="A288" s="13">
        <v>46155</v>
      </c>
      <c r="B288" s="21" t="s">
        <v>1</v>
      </c>
      <c r="C288" s="11" t="s">
        <v>8</v>
      </c>
      <c r="D288" s="11">
        <v>14</v>
      </c>
      <c r="E288" s="10"/>
      <c r="F288" s="10">
        <v>90</v>
      </c>
      <c r="G288" s="10">
        <v>105</v>
      </c>
      <c r="H288" s="10"/>
      <c r="I288" s="10"/>
      <c r="J288" s="10"/>
      <c r="K288" s="6"/>
      <c r="L288" s="6">
        <v>25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>
        <v>28</v>
      </c>
      <c r="AA288" s="6"/>
      <c r="AB288" s="6">
        <f>SUM(E288:AA288)</f>
        <v>248</v>
      </c>
      <c r="AC288" s="6">
        <v>253</v>
      </c>
      <c r="AD288" s="9">
        <f>SUM(AB288:AC288)</f>
        <v>501</v>
      </c>
      <c r="AE288" s="8">
        <f>AB288/AD288</f>
        <v>0.49500998003992014</v>
      </c>
      <c r="AF288" s="6">
        <v>793</v>
      </c>
      <c r="AG288" s="6">
        <v>10</v>
      </c>
      <c r="AH288" s="6">
        <v>32</v>
      </c>
      <c r="AI288" s="9">
        <f>AH288+AG288+AF288</f>
        <v>835</v>
      </c>
      <c r="AJ288" s="8">
        <f>(AG288+AH288)/AI288</f>
        <v>5.0299401197604787E-2</v>
      </c>
      <c r="AK288" s="6">
        <f>SUM(E288:W288)</f>
        <v>220</v>
      </c>
    </row>
    <row r="289" spans="1:37" s="7" customFormat="1" ht="39" customHeight="1" x14ac:dyDescent="0.25">
      <c r="A289" s="13">
        <v>46155</v>
      </c>
      <c r="B289" s="12" t="s">
        <v>1</v>
      </c>
      <c r="C289" s="11" t="s">
        <v>7</v>
      </c>
      <c r="D289" s="11">
        <v>15</v>
      </c>
      <c r="E289" s="10">
        <v>48</v>
      </c>
      <c r="F289" s="10">
        <v>20</v>
      </c>
      <c r="G289" s="10">
        <v>23</v>
      </c>
      <c r="H289" s="10">
        <v>7</v>
      </c>
      <c r="I289" s="10">
        <v>27</v>
      </c>
      <c r="J289" s="10">
        <v>2</v>
      </c>
      <c r="K289" s="6"/>
      <c r="L289" s="6">
        <v>4</v>
      </c>
      <c r="M289" s="6"/>
      <c r="N289" s="6">
        <v>11</v>
      </c>
      <c r="O289" s="6"/>
      <c r="P289" s="6"/>
      <c r="Q289" s="6"/>
      <c r="R289" s="6">
        <v>8</v>
      </c>
      <c r="S289" s="6"/>
      <c r="T289" s="6"/>
      <c r="U289" s="6"/>
      <c r="V289" s="6">
        <v>10</v>
      </c>
      <c r="W289" s="6"/>
      <c r="X289" s="6"/>
      <c r="Y289" s="6"/>
      <c r="Z289" s="6">
        <v>35</v>
      </c>
      <c r="AA289" s="6"/>
      <c r="AB289" s="6">
        <f>SUM(E289:AA289)</f>
        <v>195</v>
      </c>
      <c r="AC289" s="6">
        <v>130</v>
      </c>
      <c r="AD289" s="9">
        <f>SUM(AB289:AC289)</f>
        <v>325</v>
      </c>
      <c r="AE289" s="8">
        <f>AB289/AD289</f>
        <v>0.6</v>
      </c>
      <c r="AF289" s="6">
        <v>745</v>
      </c>
      <c r="AG289" s="6">
        <v>0</v>
      </c>
      <c r="AH289" s="6">
        <v>22</v>
      </c>
      <c r="AI289" s="9">
        <f>AH289+AG289+AF289</f>
        <v>767</v>
      </c>
      <c r="AJ289" s="8">
        <f>(AG289+AH289)/AI289</f>
        <v>2.8683181225554105E-2</v>
      </c>
      <c r="AK289" s="6">
        <f>SUM(E289:W289)</f>
        <v>160</v>
      </c>
    </row>
    <row r="290" spans="1:37" s="7" customFormat="1" ht="39" customHeight="1" x14ac:dyDescent="0.25">
      <c r="A290" s="13">
        <v>46155</v>
      </c>
      <c r="B290" s="21" t="s">
        <v>1</v>
      </c>
      <c r="C290" s="11" t="s">
        <v>10</v>
      </c>
      <c r="D290" s="11">
        <v>16</v>
      </c>
      <c r="E290" s="10">
        <v>65</v>
      </c>
      <c r="F290" s="10">
        <v>224</v>
      </c>
      <c r="G290" s="10">
        <v>107</v>
      </c>
      <c r="H290" s="10">
        <v>110</v>
      </c>
      <c r="I290" s="10"/>
      <c r="J290" s="10">
        <v>35</v>
      </c>
      <c r="K290" s="6"/>
      <c r="L290" s="6"/>
      <c r="M290" s="6"/>
      <c r="N290" s="6"/>
      <c r="O290" s="6"/>
      <c r="P290" s="6"/>
      <c r="Q290" s="6"/>
      <c r="R290" s="6">
        <v>62</v>
      </c>
      <c r="S290" s="6"/>
      <c r="T290" s="6"/>
      <c r="U290" s="6"/>
      <c r="V290" s="6"/>
      <c r="W290" s="6"/>
      <c r="X290" s="6"/>
      <c r="Y290" s="6"/>
      <c r="Z290" s="6">
        <v>35</v>
      </c>
      <c r="AA290" s="6"/>
      <c r="AB290" s="6">
        <f>SUM(E290:AA290)</f>
        <v>638</v>
      </c>
      <c r="AC290" s="6">
        <v>442</v>
      </c>
      <c r="AD290" s="9">
        <f>SUM(AB290:AC290)</f>
        <v>1080</v>
      </c>
      <c r="AE290" s="8">
        <f>AB290/AD290</f>
        <v>0.59074074074074079</v>
      </c>
      <c r="AF290" s="14">
        <v>304</v>
      </c>
      <c r="AG290" s="6">
        <v>0</v>
      </c>
      <c r="AH290" s="14">
        <v>14</v>
      </c>
      <c r="AI290" s="9">
        <f>AH290+AG290+AF290</f>
        <v>318</v>
      </c>
      <c r="AJ290" s="8">
        <f>(AG290+AH290)/AI290</f>
        <v>4.40251572327044E-2</v>
      </c>
      <c r="AK290" s="6">
        <f>SUM(E290:W290)</f>
        <v>603</v>
      </c>
    </row>
    <row r="291" spans="1:37" s="7" customFormat="1" ht="39" customHeight="1" x14ac:dyDescent="0.25">
      <c r="A291" s="13">
        <v>46155</v>
      </c>
      <c r="B291" s="21" t="s">
        <v>1</v>
      </c>
      <c r="C291" s="11" t="s">
        <v>12</v>
      </c>
      <c r="D291" s="11">
        <v>17</v>
      </c>
      <c r="E291" s="10">
        <v>8</v>
      </c>
      <c r="F291" s="10">
        <v>84</v>
      </c>
      <c r="G291" s="10">
        <v>34</v>
      </c>
      <c r="H291" s="10">
        <v>9</v>
      </c>
      <c r="I291" s="10"/>
      <c r="J291" s="10"/>
      <c r="K291" s="6"/>
      <c r="L291" s="6"/>
      <c r="M291" s="6"/>
      <c r="N291" s="6"/>
      <c r="O291" s="6"/>
      <c r="P291" s="6"/>
      <c r="Q291" s="6"/>
      <c r="R291" s="6">
        <v>61</v>
      </c>
      <c r="S291" s="6"/>
      <c r="T291" s="6"/>
      <c r="U291" s="6"/>
      <c r="V291" s="6"/>
      <c r="W291" s="6"/>
      <c r="X291" s="6">
        <v>29</v>
      </c>
      <c r="Y291" s="6"/>
      <c r="Z291" s="6">
        <v>52</v>
      </c>
      <c r="AA291" s="6"/>
      <c r="AB291" s="6">
        <f>SUM(E291:AA291)</f>
        <v>277</v>
      </c>
      <c r="AC291" s="6">
        <v>754</v>
      </c>
      <c r="AD291" s="9">
        <f>SUM(AB291:AC291)</f>
        <v>1031</v>
      </c>
      <c r="AE291" s="8">
        <f>AB291/AD291</f>
        <v>0.26867119301648884</v>
      </c>
      <c r="AF291" s="14">
        <v>625</v>
      </c>
      <c r="AG291" s="6">
        <v>0</v>
      </c>
      <c r="AH291" s="14">
        <v>15</v>
      </c>
      <c r="AI291" s="9">
        <f>AH291+AG291+AF291</f>
        <v>640</v>
      </c>
      <c r="AJ291" s="8">
        <f>(AG291+AH291)/AI291</f>
        <v>2.34375E-2</v>
      </c>
      <c r="AK291" s="6">
        <f>SUM(E291:W291)</f>
        <v>196</v>
      </c>
    </row>
    <row r="292" spans="1:37" s="7" customFormat="1" ht="39" customHeight="1" x14ac:dyDescent="0.25">
      <c r="A292" s="13">
        <v>46155</v>
      </c>
      <c r="B292" s="21" t="s">
        <v>1</v>
      </c>
      <c r="C292" s="21" t="s">
        <v>6</v>
      </c>
      <c r="D292" s="21">
        <v>18</v>
      </c>
      <c r="E292" s="10">
        <v>110</v>
      </c>
      <c r="F292" s="10">
        <v>5</v>
      </c>
      <c r="G292" s="10">
        <v>10</v>
      </c>
      <c r="H292" s="10"/>
      <c r="I292" s="10"/>
      <c r="J292" s="10">
        <v>9</v>
      </c>
      <c r="K292" s="6"/>
      <c r="L292" s="6"/>
      <c r="M292" s="6"/>
      <c r="N292" s="6">
        <v>20</v>
      </c>
      <c r="O292" s="6"/>
      <c r="P292" s="6"/>
      <c r="Q292" s="6"/>
      <c r="R292" s="6">
        <v>30</v>
      </c>
      <c r="S292" s="6"/>
      <c r="T292" s="6">
        <v>5</v>
      </c>
      <c r="U292" s="6"/>
      <c r="V292" s="6"/>
      <c r="W292" s="6"/>
      <c r="X292" s="6"/>
      <c r="Y292" s="6"/>
      <c r="Z292" s="6">
        <v>40</v>
      </c>
      <c r="AA292" s="6"/>
      <c r="AB292" s="6">
        <f>SUM(E292:AA292)</f>
        <v>229</v>
      </c>
      <c r="AC292" s="6">
        <v>516</v>
      </c>
      <c r="AD292" s="9">
        <f>SUM(AB292:AC292)</f>
        <v>745</v>
      </c>
      <c r="AE292" s="8">
        <f>AB292/AD292</f>
        <v>0.30738255033557049</v>
      </c>
      <c r="AF292" s="6">
        <v>1015</v>
      </c>
      <c r="AG292" s="6">
        <v>0</v>
      </c>
      <c r="AH292" s="6">
        <v>12</v>
      </c>
      <c r="AI292" s="9">
        <f>AH292+AG292+AF292</f>
        <v>1027</v>
      </c>
      <c r="AJ292" s="8">
        <f>(AG292+AH292)/AI292</f>
        <v>1.1684518013631937E-2</v>
      </c>
      <c r="AK292" s="6">
        <f>SUM(E292:W292)</f>
        <v>189</v>
      </c>
    </row>
    <row r="293" spans="1:37" s="7" customFormat="1" ht="39" customHeight="1" x14ac:dyDescent="0.25">
      <c r="A293" s="13">
        <v>46155</v>
      </c>
      <c r="B293" s="21" t="s">
        <v>1</v>
      </c>
      <c r="C293" s="11" t="s">
        <v>10</v>
      </c>
      <c r="D293" s="11">
        <v>19</v>
      </c>
      <c r="E293" s="21">
        <v>84</v>
      </c>
      <c r="F293" s="21">
        <v>84</v>
      </c>
      <c r="G293" s="21">
        <v>47</v>
      </c>
      <c r="H293" s="21">
        <v>35</v>
      </c>
      <c r="I293" s="21">
        <v>38</v>
      </c>
      <c r="J293" s="21"/>
      <c r="K293" s="21"/>
      <c r="L293" s="6"/>
      <c r="M293" s="21"/>
      <c r="N293" s="21"/>
      <c r="O293" s="21"/>
      <c r="P293" s="21"/>
      <c r="Q293" s="21"/>
      <c r="R293" s="6">
        <v>131</v>
      </c>
      <c r="S293" s="6"/>
      <c r="T293" s="6"/>
      <c r="U293" s="21"/>
      <c r="V293" s="21"/>
      <c r="W293" s="6"/>
      <c r="X293" s="6"/>
      <c r="Y293" s="6"/>
      <c r="Z293" s="6">
        <v>131</v>
      </c>
      <c r="AA293" s="6"/>
      <c r="AB293" s="6">
        <f>SUM(E293:AA293)</f>
        <v>550</v>
      </c>
      <c r="AC293" s="22">
        <v>317</v>
      </c>
      <c r="AD293" s="9">
        <f>SUM(AB293:AC293)</f>
        <v>867</v>
      </c>
      <c r="AE293" s="8">
        <f>AB293/AD293</f>
        <v>0.63437139561707034</v>
      </c>
      <c r="AF293" s="6">
        <v>360</v>
      </c>
      <c r="AG293" s="6">
        <v>11</v>
      </c>
      <c r="AH293" s="6">
        <v>7</v>
      </c>
      <c r="AI293" s="9">
        <f>AH293+AG293+AF293</f>
        <v>378</v>
      </c>
      <c r="AJ293" s="8">
        <f>(AG293+AH293)/AI293</f>
        <v>4.7619047619047616E-2</v>
      </c>
      <c r="AK293" s="6">
        <f>SUM(E293:W293)</f>
        <v>419</v>
      </c>
    </row>
    <row r="294" spans="1:37" s="7" customFormat="1" ht="39" customHeight="1" x14ac:dyDescent="0.25">
      <c r="A294" s="13">
        <v>46155</v>
      </c>
      <c r="B294" s="21" t="s">
        <v>1</v>
      </c>
      <c r="C294" s="11" t="s">
        <v>9</v>
      </c>
      <c r="D294" s="11">
        <v>20</v>
      </c>
      <c r="E294" s="10">
        <v>52</v>
      </c>
      <c r="F294" s="10">
        <v>15</v>
      </c>
      <c r="G294" s="10"/>
      <c r="H294" s="10">
        <v>60</v>
      </c>
      <c r="I294" s="10">
        <v>38</v>
      </c>
      <c r="J294" s="10"/>
      <c r="K294" s="6"/>
      <c r="L294" s="6"/>
      <c r="M294" s="6"/>
      <c r="N294" s="6">
        <v>24</v>
      </c>
      <c r="O294" s="6"/>
      <c r="P294" s="6"/>
      <c r="Q294" s="6"/>
      <c r="R294" s="6">
        <v>20</v>
      </c>
      <c r="S294" s="6"/>
      <c r="T294" s="6"/>
      <c r="U294" s="6"/>
      <c r="V294" s="6"/>
      <c r="W294" s="6"/>
      <c r="X294" s="6"/>
      <c r="Y294" s="6"/>
      <c r="Z294" s="6">
        <v>43</v>
      </c>
      <c r="AA294" s="6"/>
      <c r="AB294" s="6">
        <f>SUM(E294:AA294)</f>
        <v>252</v>
      </c>
      <c r="AC294" s="6">
        <v>330</v>
      </c>
      <c r="AD294" s="9">
        <f>SUM(AB294:AC294)</f>
        <v>582</v>
      </c>
      <c r="AE294" s="8">
        <f>AB294/AD294</f>
        <v>0.4329896907216495</v>
      </c>
      <c r="AF294" s="6">
        <v>290</v>
      </c>
      <c r="AG294" s="6">
        <v>0</v>
      </c>
      <c r="AH294" s="6">
        <v>15</v>
      </c>
      <c r="AI294" s="9">
        <f>AH294+AG294+AF294</f>
        <v>305</v>
      </c>
      <c r="AJ294" s="8">
        <f>(AG294+AH294)/AI294</f>
        <v>4.9180327868852458E-2</v>
      </c>
      <c r="AK294" s="6">
        <f>SUM(E294:W294)</f>
        <v>209</v>
      </c>
    </row>
    <row r="295" spans="1:37" s="7" customFormat="1" ht="39" customHeight="1" x14ac:dyDescent="0.25">
      <c r="A295" s="13">
        <v>46155</v>
      </c>
      <c r="B295" s="21" t="s">
        <v>1</v>
      </c>
      <c r="C295" s="11" t="s">
        <v>19</v>
      </c>
      <c r="D295" s="11">
        <v>21</v>
      </c>
      <c r="E295" s="10">
        <v>65</v>
      </c>
      <c r="F295" s="10">
        <v>84</v>
      </c>
      <c r="G295" s="10"/>
      <c r="H295" s="10">
        <v>30</v>
      </c>
      <c r="I295" s="10"/>
      <c r="J295" s="10"/>
      <c r="K295" s="6">
        <v>30</v>
      </c>
      <c r="L295" s="6"/>
      <c r="M295" s="6">
        <v>30</v>
      </c>
      <c r="N295" s="6"/>
      <c r="O295" s="6"/>
      <c r="P295" s="6"/>
      <c r="Q295" s="6"/>
      <c r="R295" s="6">
        <v>105</v>
      </c>
      <c r="S295" s="6"/>
      <c r="T295" s="6"/>
      <c r="U295" s="6"/>
      <c r="V295" s="6"/>
      <c r="W295" s="6"/>
      <c r="X295" s="6"/>
      <c r="Y295" s="6"/>
      <c r="Z295" s="6">
        <f>55+50</f>
        <v>105</v>
      </c>
      <c r="AA295" s="6"/>
      <c r="AB295" s="6">
        <f>SUM(E295:AA295)</f>
        <v>449</v>
      </c>
      <c r="AC295" s="6">
        <v>214</v>
      </c>
      <c r="AD295" s="9">
        <f>SUM(AB295:AC295)</f>
        <v>663</v>
      </c>
      <c r="AE295" s="8">
        <f>AB295/AD295</f>
        <v>0.6772247360482655</v>
      </c>
      <c r="AF295" s="14">
        <v>820</v>
      </c>
      <c r="AG295" s="6">
        <v>0</v>
      </c>
      <c r="AH295" s="14">
        <v>16</v>
      </c>
      <c r="AI295" s="9">
        <f>AH295+AG295+AF295</f>
        <v>836</v>
      </c>
      <c r="AJ295" s="8">
        <f>(AG295+AH295)/AI295</f>
        <v>1.9138755980861243E-2</v>
      </c>
      <c r="AK295" s="6">
        <f>SUM(E295:W295)</f>
        <v>344</v>
      </c>
    </row>
    <row r="296" spans="1:37" s="7" customFormat="1" ht="39" customHeight="1" x14ac:dyDescent="0.25">
      <c r="A296" s="13">
        <v>46155</v>
      </c>
      <c r="B296" s="21" t="s">
        <v>1</v>
      </c>
      <c r="C296" s="11" t="s">
        <v>8</v>
      </c>
      <c r="D296" s="11">
        <v>22</v>
      </c>
      <c r="E296" s="10">
        <v>33</v>
      </c>
      <c r="F296" s="10">
        <v>31</v>
      </c>
      <c r="G296" s="10">
        <v>17</v>
      </c>
      <c r="H296" s="10">
        <v>18</v>
      </c>
      <c r="I296" s="10">
        <v>5</v>
      </c>
      <c r="J296" s="10">
        <v>15</v>
      </c>
      <c r="K296" s="6"/>
      <c r="L296" s="6">
        <v>8</v>
      </c>
      <c r="M296" s="6"/>
      <c r="N296" s="6"/>
      <c r="O296" s="6">
        <v>10</v>
      </c>
      <c r="P296" s="6"/>
      <c r="Q296" s="6"/>
      <c r="R296" s="6">
        <f>17+49</f>
        <v>66</v>
      </c>
      <c r="S296" s="6"/>
      <c r="T296" s="6"/>
      <c r="U296" s="6"/>
      <c r="V296" s="6">
        <v>12</v>
      </c>
      <c r="W296" s="6"/>
      <c r="X296" s="6">
        <v>15</v>
      </c>
      <c r="Y296" s="6"/>
      <c r="Z296" s="6">
        <v>3</v>
      </c>
      <c r="AA296" s="6">
        <v>8</v>
      </c>
      <c r="AB296" s="6">
        <f>SUM(E296:AA296)</f>
        <v>241</v>
      </c>
      <c r="AC296" s="6">
        <v>307</v>
      </c>
      <c r="AD296" s="9">
        <f>SUM(AB296:AC296)</f>
        <v>548</v>
      </c>
      <c r="AE296" s="8">
        <f>AB296/AD296</f>
        <v>0.43978102189781021</v>
      </c>
      <c r="AF296" s="6">
        <v>510</v>
      </c>
      <c r="AG296" s="6">
        <v>0</v>
      </c>
      <c r="AH296" s="6">
        <v>16</v>
      </c>
      <c r="AI296" s="9">
        <f>AH296+AG296+AF296</f>
        <v>526</v>
      </c>
      <c r="AJ296" s="8">
        <f>(AG296+AH296)/AI296</f>
        <v>3.0418250950570342E-2</v>
      </c>
      <c r="AK296" s="6">
        <f>SUM(E296:W296)</f>
        <v>215</v>
      </c>
    </row>
    <row r="297" spans="1:37" s="7" customFormat="1" ht="39" customHeight="1" x14ac:dyDescent="0.25">
      <c r="A297" s="13">
        <v>46155</v>
      </c>
      <c r="B297" s="21" t="s">
        <v>1</v>
      </c>
      <c r="C297" s="11" t="s">
        <v>10</v>
      </c>
      <c r="D297" s="11">
        <v>23</v>
      </c>
      <c r="E297" s="10">
        <v>117</v>
      </c>
      <c r="F297" s="10">
        <v>109</v>
      </c>
      <c r="G297" s="10">
        <v>20</v>
      </c>
      <c r="H297" s="10">
        <v>60</v>
      </c>
      <c r="I297" s="10">
        <v>46</v>
      </c>
      <c r="J297" s="10"/>
      <c r="K297" s="6">
        <v>10</v>
      </c>
      <c r="L297" s="6">
        <v>35</v>
      </c>
      <c r="M297" s="6"/>
      <c r="N297" s="6"/>
      <c r="O297" s="6"/>
      <c r="P297" s="6"/>
      <c r="Q297" s="6"/>
      <c r="R297" s="6">
        <v>30</v>
      </c>
      <c r="S297" s="6"/>
      <c r="T297" s="6"/>
      <c r="U297" s="6"/>
      <c r="V297" s="6"/>
      <c r="W297" s="6"/>
      <c r="X297" s="6"/>
      <c r="Y297" s="6"/>
      <c r="Z297" s="6">
        <v>92</v>
      </c>
      <c r="AA297" s="6"/>
      <c r="AB297" s="6">
        <f>SUM(E297:AA297)</f>
        <v>519</v>
      </c>
      <c r="AC297" s="6">
        <v>247</v>
      </c>
      <c r="AD297" s="9">
        <f>SUM(AB297:AC297)</f>
        <v>766</v>
      </c>
      <c r="AE297" s="8">
        <f>AB297/AD297</f>
        <v>0.67754569190600522</v>
      </c>
      <c r="AF297" s="6">
        <v>364</v>
      </c>
      <c r="AG297" s="6">
        <v>0</v>
      </c>
      <c r="AH297" s="6">
        <v>28</v>
      </c>
      <c r="AI297" s="9">
        <f>AH297+AG297+AF297</f>
        <v>392</v>
      </c>
      <c r="AJ297" s="8">
        <f>(AG297+AH297)/AI297</f>
        <v>7.1428571428571425E-2</v>
      </c>
      <c r="AK297" s="6">
        <f>SUM(E297:W297)</f>
        <v>427</v>
      </c>
    </row>
    <row r="298" spans="1:37" s="7" customFormat="1" ht="39" customHeight="1" x14ac:dyDescent="0.25">
      <c r="A298" s="13">
        <v>46155</v>
      </c>
      <c r="B298" s="21" t="s">
        <v>1</v>
      </c>
      <c r="C298" s="21" t="s">
        <v>6</v>
      </c>
      <c r="D298" s="11">
        <v>24</v>
      </c>
      <c r="E298" s="10">
        <v>52</v>
      </c>
      <c r="F298" s="10">
        <v>20</v>
      </c>
      <c r="G298" s="10">
        <v>9</v>
      </c>
      <c r="H298" s="10">
        <v>55</v>
      </c>
      <c r="I298" s="10"/>
      <c r="J298" s="10">
        <v>5</v>
      </c>
      <c r="K298" s="6"/>
      <c r="L298" s="6"/>
      <c r="M298" s="6"/>
      <c r="N298" s="6">
        <v>15</v>
      </c>
      <c r="O298" s="6"/>
      <c r="P298" s="6"/>
      <c r="Q298" s="6"/>
      <c r="R298" s="6"/>
      <c r="S298" s="6"/>
      <c r="T298" s="6"/>
      <c r="U298" s="6"/>
      <c r="V298" s="6"/>
      <c r="W298" s="6"/>
      <c r="X298" s="6">
        <v>37</v>
      </c>
      <c r="Y298" s="6"/>
      <c r="Z298" s="6"/>
      <c r="AA298" s="6"/>
      <c r="AB298" s="6">
        <f>SUM(E298:AA298)</f>
        <v>193</v>
      </c>
      <c r="AC298" s="6">
        <v>699</v>
      </c>
      <c r="AD298" s="9">
        <f>SUM(AB298:AC298)</f>
        <v>892</v>
      </c>
      <c r="AE298" s="8">
        <f>AB298/AD298</f>
        <v>0.21636771300448429</v>
      </c>
      <c r="AF298" s="6">
        <v>865</v>
      </c>
      <c r="AG298" s="6">
        <v>11</v>
      </c>
      <c r="AH298" s="14">
        <v>12</v>
      </c>
      <c r="AI298" s="9">
        <f>AH298+AG298+AF298</f>
        <v>888</v>
      </c>
      <c r="AJ298" s="8">
        <f>(AG298+AH298)/AI298</f>
        <v>2.59009009009009E-2</v>
      </c>
      <c r="AK298" s="6">
        <f>SUM(E298:W298)</f>
        <v>156</v>
      </c>
    </row>
    <row r="299" spans="1:37" s="7" customFormat="1" ht="39" customHeight="1" x14ac:dyDescent="0.25">
      <c r="A299" s="13">
        <v>46155</v>
      </c>
      <c r="B299" s="27" t="s">
        <v>5</v>
      </c>
      <c r="C299" s="27" t="s">
        <v>4</v>
      </c>
      <c r="D299" s="11">
        <v>25</v>
      </c>
      <c r="E299" s="10">
        <v>265</v>
      </c>
      <c r="F299" s="10">
        <v>211</v>
      </c>
      <c r="G299" s="10">
        <v>165</v>
      </c>
      <c r="H299" s="10">
        <v>55</v>
      </c>
      <c r="I299" s="10"/>
      <c r="J299" s="10">
        <v>285</v>
      </c>
      <c r="K299" s="6">
        <v>30</v>
      </c>
      <c r="L299" s="6"/>
      <c r="M299" s="6"/>
      <c r="N299" s="6"/>
      <c r="O299" s="6"/>
      <c r="P299" s="6"/>
      <c r="Q299" s="6"/>
      <c r="R299" s="6">
        <v>85</v>
      </c>
      <c r="S299" s="6"/>
      <c r="T299" s="6"/>
      <c r="U299" s="6"/>
      <c r="V299" s="6"/>
      <c r="W299" s="6"/>
      <c r="X299" s="6">
        <v>20</v>
      </c>
      <c r="Y299" s="6"/>
      <c r="Z299" s="6">
        <v>390</v>
      </c>
      <c r="AA299" s="6"/>
      <c r="AB299" s="6">
        <f>SUM(E299:AA299)</f>
        <v>1506</v>
      </c>
      <c r="AC299" s="6">
        <v>240</v>
      </c>
      <c r="AD299" s="9">
        <f>SUM(AB299:AC299)</f>
        <v>1746</v>
      </c>
      <c r="AE299" s="8">
        <f>AB299/AD299</f>
        <v>0.86254295532646053</v>
      </c>
      <c r="AF299" s="6">
        <v>630</v>
      </c>
      <c r="AG299" s="6">
        <v>23</v>
      </c>
      <c r="AH299" s="14">
        <v>2</v>
      </c>
      <c r="AI299" s="9">
        <f>AH299+AG299+AF299</f>
        <v>655</v>
      </c>
      <c r="AJ299" s="8">
        <f>(AG299+AH299)/AI299</f>
        <v>3.8167938931297711E-2</v>
      </c>
      <c r="AK299" s="6">
        <f>SUM(E299:W299)</f>
        <v>1096</v>
      </c>
    </row>
    <row r="300" spans="1:37" s="7" customFormat="1" ht="39" customHeight="1" x14ac:dyDescent="0.25">
      <c r="A300" s="13">
        <v>46155</v>
      </c>
      <c r="B300" s="27" t="s">
        <v>5</v>
      </c>
      <c r="C300" s="27" t="s">
        <v>4</v>
      </c>
      <c r="D300" s="11">
        <v>26</v>
      </c>
      <c r="E300" s="10">
        <v>1</v>
      </c>
      <c r="F300" s="10">
        <v>10</v>
      </c>
      <c r="G300" s="10">
        <v>17</v>
      </c>
      <c r="H300" s="10"/>
      <c r="I300" s="10"/>
      <c r="J300" s="10">
        <v>48</v>
      </c>
      <c r="K300" s="6"/>
      <c r="L300" s="6"/>
      <c r="M300" s="6"/>
      <c r="N300" s="6"/>
      <c r="O300" s="6"/>
      <c r="P300" s="6"/>
      <c r="Q300" s="6"/>
      <c r="R300" s="6">
        <v>17</v>
      </c>
      <c r="S300" s="6"/>
      <c r="T300" s="6"/>
      <c r="U300" s="6"/>
      <c r="V300" s="6"/>
      <c r="W300" s="6"/>
      <c r="X300" s="6"/>
      <c r="Y300" s="6"/>
      <c r="Z300" s="6">
        <v>7</v>
      </c>
      <c r="AA300" s="6"/>
      <c r="AB300" s="6">
        <f>SUM(E300:AA300)</f>
        <v>100</v>
      </c>
      <c r="AC300" s="6">
        <v>108</v>
      </c>
      <c r="AD300" s="9">
        <f>SUM(AB300:AC300)</f>
        <v>208</v>
      </c>
      <c r="AE300" s="8">
        <f>AB300/AD300</f>
        <v>0.48076923076923078</v>
      </c>
      <c r="AF300" s="14">
        <v>636</v>
      </c>
      <c r="AG300" s="6">
        <v>10</v>
      </c>
      <c r="AH300" s="14">
        <v>11</v>
      </c>
      <c r="AI300" s="9">
        <f>AH300+AG300+AF300</f>
        <v>657</v>
      </c>
      <c r="AJ300" s="8">
        <f>(AG300+AH300)/AI300</f>
        <v>3.1963470319634701E-2</v>
      </c>
      <c r="AK300" s="6">
        <f>SUM(E300:W300)</f>
        <v>93</v>
      </c>
    </row>
    <row r="301" spans="1:37" s="7" customFormat="1" ht="39" customHeight="1" x14ac:dyDescent="0.25">
      <c r="A301" s="13">
        <v>46155</v>
      </c>
      <c r="B301" s="27" t="s">
        <v>5</v>
      </c>
      <c r="C301" s="27" t="s">
        <v>4</v>
      </c>
      <c r="D301" s="11">
        <v>27</v>
      </c>
      <c r="E301" s="10">
        <v>16</v>
      </c>
      <c r="F301" s="10">
        <v>4</v>
      </c>
      <c r="G301" s="10">
        <v>2</v>
      </c>
      <c r="H301" s="10"/>
      <c r="I301" s="10"/>
      <c r="J301" s="10">
        <v>7</v>
      </c>
      <c r="K301" s="6">
        <v>4</v>
      </c>
      <c r="L301" s="6"/>
      <c r="M301" s="6"/>
      <c r="N301" s="6"/>
      <c r="O301" s="6"/>
      <c r="P301" s="6"/>
      <c r="Q301" s="6"/>
      <c r="R301" s="6">
        <v>3</v>
      </c>
      <c r="S301" s="6"/>
      <c r="T301" s="6"/>
      <c r="U301" s="6"/>
      <c r="V301" s="6"/>
      <c r="W301" s="6"/>
      <c r="X301" s="6"/>
      <c r="Y301" s="6"/>
      <c r="Z301" s="6">
        <v>14</v>
      </c>
      <c r="AA301" s="6"/>
      <c r="AB301" s="6">
        <f>SUM(E301:AA301)</f>
        <v>50</v>
      </c>
      <c r="AC301" s="6">
        <v>113</v>
      </c>
      <c r="AD301" s="9">
        <f>SUM(AB301:AC301)</f>
        <v>163</v>
      </c>
      <c r="AE301" s="8">
        <f>AB301/AD301</f>
        <v>0.30674846625766872</v>
      </c>
      <c r="AF301" s="14">
        <v>695</v>
      </c>
      <c r="AG301" s="6">
        <v>0</v>
      </c>
      <c r="AH301" s="14">
        <v>22</v>
      </c>
      <c r="AI301" s="9">
        <f>AH301+AG301+AF301</f>
        <v>717</v>
      </c>
      <c r="AJ301" s="8">
        <f>(AG301+AH301)/AI301</f>
        <v>3.0683403068340307E-2</v>
      </c>
      <c r="AK301" s="6">
        <f>SUM(E301:W301)</f>
        <v>36</v>
      </c>
    </row>
    <row r="302" spans="1:37" s="7" customFormat="1" ht="39" customHeight="1" x14ac:dyDescent="0.25">
      <c r="A302" s="13">
        <v>46155</v>
      </c>
      <c r="B302" s="21" t="s">
        <v>1</v>
      </c>
      <c r="C302" s="11" t="s">
        <v>0</v>
      </c>
      <c r="D302" s="11">
        <v>28</v>
      </c>
      <c r="E302" s="10">
        <v>139</v>
      </c>
      <c r="F302" s="10">
        <v>60</v>
      </c>
      <c r="G302" s="10">
        <v>30</v>
      </c>
      <c r="H302" s="10">
        <v>25</v>
      </c>
      <c r="I302" s="10"/>
      <c r="J302" s="10">
        <v>45</v>
      </c>
      <c r="K302" s="6"/>
      <c r="L302" s="6">
        <v>10</v>
      </c>
      <c r="M302" s="6"/>
      <c r="N302" s="6"/>
      <c r="O302" s="6"/>
      <c r="P302" s="6"/>
      <c r="Q302" s="6"/>
      <c r="R302" s="6">
        <v>35</v>
      </c>
      <c r="S302" s="6"/>
      <c r="T302" s="6"/>
      <c r="U302" s="6"/>
      <c r="V302" s="6"/>
      <c r="W302" s="6"/>
      <c r="X302" s="6"/>
      <c r="Y302" s="6"/>
      <c r="Z302" s="6">
        <v>25</v>
      </c>
      <c r="AA302" s="6"/>
      <c r="AB302" s="6">
        <f>SUM(E302:AA302)</f>
        <v>369</v>
      </c>
      <c r="AC302" s="6">
        <v>26</v>
      </c>
      <c r="AD302" s="9">
        <f>SUM(AB302:AC302)</f>
        <v>395</v>
      </c>
      <c r="AE302" s="8">
        <f>AB302/AD302</f>
        <v>0.9341772151898734</v>
      </c>
      <c r="AF302" s="14">
        <v>493</v>
      </c>
      <c r="AG302" s="6">
        <v>2</v>
      </c>
      <c r="AH302" s="14">
        <v>21</v>
      </c>
      <c r="AI302" s="9">
        <f>AH302+AG302+AF302</f>
        <v>516</v>
      </c>
      <c r="AJ302" s="8">
        <f>(AG302+AH302)/AI302</f>
        <v>4.4573643410852716E-2</v>
      </c>
      <c r="AK302" s="6">
        <f>SUM(E302:W302)</f>
        <v>344</v>
      </c>
    </row>
    <row r="303" spans="1:37" s="7" customFormat="1" ht="39" customHeight="1" x14ac:dyDescent="0.25">
      <c r="A303" s="20">
        <v>46157</v>
      </c>
      <c r="B303" s="19" t="s">
        <v>1</v>
      </c>
      <c r="C303" s="25" t="s">
        <v>3</v>
      </c>
      <c r="D303" s="25">
        <v>1</v>
      </c>
      <c r="E303" s="24">
        <v>36</v>
      </c>
      <c r="F303" s="24">
        <v>13</v>
      </c>
      <c r="G303" s="24">
        <v>19</v>
      </c>
      <c r="H303" s="24">
        <v>7</v>
      </c>
      <c r="I303" s="24"/>
      <c r="J303" s="24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>
        <v>8</v>
      </c>
      <c r="Y303" s="15"/>
      <c r="Z303" s="15">
        <v>7</v>
      </c>
      <c r="AA303" s="15"/>
      <c r="AB303" s="15">
        <f>SUM(E303:AA303)</f>
        <v>90</v>
      </c>
      <c r="AC303" s="15">
        <v>224</v>
      </c>
      <c r="AD303" s="17">
        <f>SUM(AB303:AC303)</f>
        <v>314</v>
      </c>
      <c r="AE303" s="16">
        <f>AB303/AD303</f>
        <v>0.28662420382165604</v>
      </c>
      <c r="AF303" s="15">
        <v>1033</v>
      </c>
      <c r="AG303" s="15">
        <v>0</v>
      </c>
      <c r="AH303" s="15">
        <v>22</v>
      </c>
      <c r="AI303" s="17">
        <f>AH303+AG303+AF303</f>
        <v>1055</v>
      </c>
      <c r="AJ303" s="16">
        <f>(AG303+AH303)/AI303</f>
        <v>2.0853080568720379E-2</v>
      </c>
      <c r="AK303" s="15">
        <f>SUM(E303:W303)</f>
        <v>75</v>
      </c>
    </row>
    <row r="304" spans="1:37" s="7" customFormat="1" ht="39" customHeight="1" x14ac:dyDescent="0.25">
      <c r="A304" s="13">
        <v>46157</v>
      </c>
      <c r="B304" s="21" t="s">
        <v>1</v>
      </c>
      <c r="C304" s="11" t="s">
        <v>17</v>
      </c>
      <c r="D304" s="11">
        <v>2</v>
      </c>
      <c r="E304" s="6">
        <v>110</v>
      </c>
      <c r="F304" s="10">
        <v>60</v>
      </c>
      <c r="G304" s="10"/>
      <c r="H304" s="10">
        <v>45</v>
      </c>
      <c r="I304" s="10"/>
      <c r="J304" s="10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>
        <v>23</v>
      </c>
      <c r="AA304" s="6"/>
      <c r="AB304" s="6">
        <f>SUM(E304:AA304)</f>
        <v>238</v>
      </c>
      <c r="AC304" s="6">
        <v>214</v>
      </c>
      <c r="AD304" s="9">
        <f>SUM(AB304:AC304)</f>
        <v>452</v>
      </c>
      <c r="AE304" s="8">
        <f>AB304/AD304</f>
        <v>0.52654867256637172</v>
      </c>
      <c r="AF304" s="14">
        <v>855</v>
      </c>
      <c r="AG304" s="6">
        <v>2</v>
      </c>
      <c r="AH304" s="14">
        <v>28</v>
      </c>
      <c r="AI304" s="9">
        <f>AH304+AG304+AF304</f>
        <v>885</v>
      </c>
      <c r="AJ304" s="8">
        <f>(AG304+AH304)/AI304</f>
        <v>3.3898305084745763E-2</v>
      </c>
      <c r="AK304" s="6">
        <f>SUM(E304:W304)</f>
        <v>215</v>
      </c>
    </row>
    <row r="305" spans="1:37" s="7" customFormat="1" ht="39" customHeight="1" x14ac:dyDescent="0.25">
      <c r="A305" s="13">
        <v>46157</v>
      </c>
      <c r="B305" s="21" t="s">
        <v>1</v>
      </c>
      <c r="C305" s="11" t="s">
        <v>16</v>
      </c>
      <c r="D305" s="11">
        <v>3</v>
      </c>
      <c r="E305" s="10">
        <v>34</v>
      </c>
      <c r="F305" s="10">
        <v>24</v>
      </c>
      <c r="G305" s="10">
        <v>18</v>
      </c>
      <c r="H305" s="10">
        <v>10</v>
      </c>
      <c r="I305" s="10"/>
      <c r="J305" s="10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>
        <v>14</v>
      </c>
      <c r="AA305" s="6"/>
      <c r="AB305" s="6">
        <f>SUM(E305:AA305)</f>
        <v>100</v>
      </c>
      <c r="AC305" s="6">
        <v>323</v>
      </c>
      <c r="AD305" s="9">
        <f>SUM(AB305:AC305)</f>
        <v>423</v>
      </c>
      <c r="AE305" s="8">
        <f>AB305/AD305</f>
        <v>0.2364066193853428</v>
      </c>
      <c r="AF305" s="6">
        <v>826</v>
      </c>
      <c r="AG305" s="6">
        <v>0</v>
      </c>
      <c r="AH305" s="6">
        <v>11</v>
      </c>
      <c r="AI305" s="9">
        <f>AH305+AG305+AF305</f>
        <v>837</v>
      </c>
      <c r="AJ305" s="8">
        <f>(AG305+AH305)/AI305</f>
        <v>1.3142174432497013E-2</v>
      </c>
      <c r="AK305" s="6">
        <f>SUM(E305:W305)</f>
        <v>86</v>
      </c>
    </row>
    <row r="306" spans="1:37" s="7" customFormat="1" ht="39" customHeight="1" x14ac:dyDescent="0.25">
      <c r="A306" s="13">
        <v>46157</v>
      </c>
      <c r="B306" s="21" t="s">
        <v>1</v>
      </c>
      <c r="C306" s="11" t="s">
        <v>16</v>
      </c>
      <c r="D306" s="11">
        <v>4</v>
      </c>
      <c r="E306" s="6">
        <v>111</v>
      </c>
      <c r="F306" s="10">
        <f>157+41</f>
        <v>198</v>
      </c>
      <c r="G306" s="10">
        <v>32</v>
      </c>
      <c r="H306" s="10">
        <v>68</v>
      </c>
      <c r="I306" s="10"/>
      <c r="J306" s="10"/>
      <c r="K306" s="6"/>
      <c r="L306" s="6"/>
      <c r="M306" s="6"/>
      <c r="N306" s="6"/>
      <c r="O306" s="6"/>
      <c r="P306" s="6"/>
      <c r="Q306" s="6"/>
      <c r="R306" s="6">
        <v>96</v>
      </c>
      <c r="S306" s="6"/>
      <c r="T306" s="6"/>
      <c r="U306" s="6"/>
      <c r="V306" s="6"/>
      <c r="W306" s="6"/>
      <c r="X306" s="6"/>
      <c r="Y306" s="6"/>
      <c r="Z306" s="6">
        <f>21+16</f>
        <v>37</v>
      </c>
      <c r="AA306" s="6"/>
      <c r="AB306" s="6">
        <f>SUM(E306:AA306)</f>
        <v>542</v>
      </c>
      <c r="AC306" s="6">
        <v>666</v>
      </c>
      <c r="AD306" s="9">
        <f>SUM(AB306:AC306)</f>
        <v>1208</v>
      </c>
      <c r="AE306" s="8">
        <f>AB306/AD306</f>
        <v>0.44867549668874174</v>
      </c>
      <c r="AF306" s="14">
        <v>785</v>
      </c>
      <c r="AG306" s="6">
        <v>8</v>
      </c>
      <c r="AH306" s="14">
        <v>12</v>
      </c>
      <c r="AI306" s="9">
        <f>AH306+AG306+AF306</f>
        <v>805</v>
      </c>
      <c r="AJ306" s="8">
        <f>(AG306+AH306)/AI306</f>
        <v>2.4844720496894408E-2</v>
      </c>
      <c r="AK306" s="6">
        <f>SUM(E306:W306)</f>
        <v>505</v>
      </c>
    </row>
    <row r="307" spans="1:37" s="7" customFormat="1" ht="39" customHeight="1" x14ac:dyDescent="0.25">
      <c r="A307" s="13">
        <v>46157</v>
      </c>
      <c r="B307" s="12" t="s">
        <v>1</v>
      </c>
      <c r="C307" s="11" t="s">
        <v>16</v>
      </c>
      <c r="D307" s="21">
        <v>5</v>
      </c>
      <c r="E307" s="6">
        <v>228</v>
      </c>
      <c r="F307" s="10">
        <v>240</v>
      </c>
      <c r="G307" s="10">
        <v>40</v>
      </c>
      <c r="H307" s="10">
        <v>28</v>
      </c>
      <c r="I307" s="10"/>
      <c r="J307" s="10"/>
      <c r="K307" s="6"/>
      <c r="L307" s="6"/>
      <c r="M307" s="6"/>
      <c r="N307" s="6"/>
      <c r="O307" s="6"/>
      <c r="P307" s="6"/>
      <c r="Q307" s="6"/>
      <c r="R307" s="6">
        <v>39</v>
      </c>
      <c r="S307" s="6"/>
      <c r="T307" s="6"/>
      <c r="U307" s="6"/>
      <c r="V307" s="6"/>
      <c r="W307" s="6"/>
      <c r="X307" s="6"/>
      <c r="Y307" s="6"/>
      <c r="Z307" s="6">
        <f>5+14</f>
        <v>19</v>
      </c>
      <c r="AA307" s="6"/>
      <c r="AB307" s="6">
        <f>SUM(E307:AA307)</f>
        <v>594</v>
      </c>
      <c r="AC307" s="6">
        <v>173</v>
      </c>
      <c r="AD307" s="9">
        <f>SUM(AB307:AC307)</f>
        <v>767</v>
      </c>
      <c r="AE307" s="8">
        <f>AB307/AD307</f>
        <v>0.77444589308996092</v>
      </c>
      <c r="AF307" s="6">
        <v>756</v>
      </c>
      <c r="AG307" s="6">
        <v>0</v>
      </c>
      <c r="AH307" s="6">
        <v>23</v>
      </c>
      <c r="AI307" s="9">
        <f>AH307+AG307+AF307</f>
        <v>779</v>
      </c>
      <c r="AJ307" s="8">
        <f>(AG307+AH307)/AI307</f>
        <v>2.9525032092426188E-2</v>
      </c>
      <c r="AK307" s="6">
        <f>SUM(E307:W307)</f>
        <v>575</v>
      </c>
    </row>
    <row r="308" spans="1:37" s="7" customFormat="1" ht="39" customHeight="1" x14ac:dyDescent="0.25">
      <c r="A308" s="13">
        <v>46157</v>
      </c>
      <c r="B308" s="21" t="s">
        <v>1</v>
      </c>
      <c r="C308" s="11" t="s">
        <v>15</v>
      </c>
      <c r="D308" s="11">
        <v>6</v>
      </c>
      <c r="E308" s="10">
        <f>20+22+16+13+16</f>
        <v>87</v>
      </c>
      <c r="F308" s="10">
        <v>118</v>
      </c>
      <c r="G308" s="10">
        <v>30</v>
      </c>
      <c r="H308" s="10">
        <v>38</v>
      </c>
      <c r="I308" s="10">
        <v>43</v>
      </c>
      <c r="J308" s="10">
        <v>47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>
        <v>131</v>
      </c>
      <c r="AA308" s="6"/>
      <c r="AB308" s="6">
        <f>SUM(E308:AA308)</f>
        <v>494</v>
      </c>
      <c r="AC308" s="6">
        <v>583</v>
      </c>
      <c r="AD308" s="9">
        <f>SUM(AB308:AC308)</f>
        <v>1077</v>
      </c>
      <c r="AE308" s="8">
        <f>AB308/AD308</f>
        <v>0.45868152274837509</v>
      </c>
      <c r="AF308" s="14">
        <v>731</v>
      </c>
      <c r="AG308" s="6">
        <v>0</v>
      </c>
      <c r="AH308" s="14">
        <v>16</v>
      </c>
      <c r="AI308" s="9">
        <f>AH308+AG308+AF308</f>
        <v>747</v>
      </c>
      <c r="AJ308" s="8">
        <f>(AG308+AH308)/AI308</f>
        <v>2.1419009370816599E-2</v>
      </c>
      <c r="AK308" s="6">
        <f>SUM(E308:W308)</f>
        <v>363</v>
      </c>
    </row>
    <row r="309" spans="1:37" s="7" customFormat="1" ht="39" customHeight="1" x14ac:dyDescent="0.25">
      <c r="A309" s="13">
        <v>46157</v>
      </c>
      <c r="B309" s="12" t="s">
        <v>1</v>
      </c>
      <c r="C309" s="11" t="s">
        <v>14</v>
      </c>
      <c r="D309" s="11">
        <v>7</v>
      </c>
      <c r="E309" s="10">
        <v>60</v>
      </c>
      <c r="F309" s="10">
        <v>45</v>
      </c>
      <c r="G309" s="10">
        <v>30</v>
      </c>
      <c r="H309" s="10">
        <v>20</v>
      </c>
      <c r="I309" s="10"/>
      <c r="J309" s="10">
        <v>10</v>
      </c>
      <c r="K309" s="6"/>
      <c r="L309" s="6">
        <v>20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>
        <v>61</v>
      </c>
      <c r="AA309" s="6"/>
      <c r="AB309" s="6">
        <f>SUM(E309:AA309)</f>
        <v>246</v>
      </c>
      <c r="AC309" s="6">
        <v>921</v>
      </c>
      <c r="AD309" s="9">
        <f>SUM(AB309:AC309)</f>
        <v>1167</v>
      </c>
      <c r="AE309" s="8">
        <f>AB309/AD309</f>
        <v>0.21079691516709512</v>
      </c>
      <c r="AF309" s="6">
        <v>684</v>
      </c>
      <c r="AG309" s="6">
        <v>5</v>
      </c>
      <c r="AH309" s="6">
        <v>16</v>
      </c>
      <c r="AI309" s="9">
        <f>AH309+AG309+AF309</f>
        <v>705</v>
      </c>
      <c r="AJ309" s="8">
        <f>(AG309+AH309)/AI309</f>
        <v>2.9787234042553193E-2</v>
      </c>
      <c r="AK309" s="6">
        <f>SUM(E309:W309)</f>
        <v>185</v>
      </c>
    </row>
    <row r="310" spans="1:37" s="7" customFormat="1" ht="39" customHeight="1" x14ac:dyDescent="0.25">
      <c r="A310" s="13">
        <v>46157</v>
      </c>
      <c r="B310" s="12" t="s">
        <v>1</v>
      </c>
      <c r="C310" s="11" t="s">
        <v>13</v>
      </c>
      <c r="D310" s="11">
        <v>8</v>
      </c>
      <c r="E310" s="10">
        <v>174</v>
      </c>
      <c r="F310" s="10">
        <v>204</v>
      </c>
      <c r="G310" s="10">
        <v>70</v>
      </c>
      <c r="H310" s="10">
        <v>50</v>
      </c>
      <c r="I310" s="10"/>
      <c r="J310" s="10"/>
      <c r="K310" s="6"/>
      <c r="L310" s="6"/>
      <c r="M310" s="6"/>
      <c r="N310" s="6">
        <v>40</v>
      </c>
      <c r="O310" s="6"/>
      <c r="P310" s="6"/>
      <c r="Q310" s="6"/>
      <c r="R310" s="6">
        <v>71</v>
      </c>
      <c r="S310" s="6"/>
      <c r="T310" s="6"/>
      <c r="U310" s="6"/>
      <c r="V310" s="6"/>
      <c r="W310" s="6"/>
      <c r="X310" s="6"/>
      <c r="Y310" s="6"/>
      <c r="Z310" s="6">
        <v>87</v>
      </c>
      <c r="AA310" s="6"/>
      <c r="AB310" s="6">
        <f>SUM(E310:AA310)</f>
        <v>696</v>
      </c>
      <c r="AC310" s="6">
        <v>1045</v>
      </c>
      <c r="AD310" s="9">
        <f>SUM(AB310:AC310)</f>
        <v>1741</v>
      </c>
      <c r="AE310" s="8">
        <f>AB310/AD310</f>
        <v>0.39977024698449165</v>
      </c>
      <c r="AF310" s="6">
        <v>745</v>
      </c>
      <c r="AG310" s="6">
        <v>0</v>
      </c>
      <c r="AH310" s="6">
        <v>10</v>
      </c>
      <c r="AI310" s="9">
        <f>AH310+AG310+AF310</f>
        <v>755</v>
      </c>
      <c r="AJ310" s="8">
        <f>(AG310+AH310)/AI310</f>
        <v>1.3245033112582781E-2</v>
      </c>
      <c r="AK310" s="6">
        <f>SUM(E310:W310)</f>
        <v>609</v>
      </c>
    </row>
    <row r="311" spans="1:37" s="7" customFormat="1" ht="39" customHeight="1" x14ac:dyDescent="0.25">
      <c r="A311" s="13">
        <v>46157</v>
      </c>
      <c r="B311" s="21" t="s">
        <v>1</v>
      </c>
      <c r="C311" s="11" t="s">
        <v>12</v>
      </c>
      <c r="D311" s="11">
        <v>9</v>
      </c>
      <c r="E311" s="10">
        <v>43</v>
      </c>
      <c r="F311" s="10">
        <v>142</v>
      </c>
      <c r="G311" s="10">
        <v>90</v>
      </c>
      <c r="H311" s="10"/>
      <c r="I311" s="10"/>
      <c r="J311" s="10"/>
      <c r="K311" s="6">
        <v>50</v>
      </c>
      <c r="L311" s="6">
        <v>134</v>
      </c>
      <c r="M311" s="6"/>
      <c r="N311" s="6"/>
      <c r="O311" s="6"/>
      <c r="P311" s="6"/>
      <c r="Q311" s="6"/>
      <c r="R311" s="6">
        <v>150</v>
      </c>
      <c r="S311" s="6"/>
      <c r="T311" s="6"/>
      <c r="U311" s="6"/>
      <c r="V311" s="6">
        <v>28</v>
      </c>
      <c r="W311" s="6"/>
      <c r="X311" s="6">
        <v>20</v>
      </c>
      <c r="Y311" s="6"/>
      <c r="Z311" s="6">
        <v>43</v>
      </c>
      <c r="AA311" s="6"/>
      <c r="AB311" s="6">
        <f>SUM(E311:AA311)</f>
        <v>700</v>
      </c>
      <c r="AC311" s="6">
        <v>874</v>
      </c>
      <c r="AD311" s="9">
        <f>SUM(AB311:AC311)</f>
        <v>1574</v>
      </c>
      <c r="AE311" s="8">
        <f>AB311/AD311</f>
        <v>0.44472681067344344</v>
      </c>
      <c r="AF311" s="14">
        <v>951</v>
      </c>
      <c r="AG311" s="6">
        <v>11</v>
      </c>
      <c r="AH311" s="14">
        <v>15</v>
      </c>
      <c r="AI311" s="9">
        <f>AH311+AG311+AF311</f>
        <v>977</v>
      </c>
      <c r="AJ311" s="8">
        <f>(AG311+AH311)/AI311</f>
        <v>2.6612077789150462E-2</v>
      </c>
      <c r="AK311" s="6">
        <f>SUM(E311:W311)</f>
        <v>637</v>
      </c>
    </row>
    <row r="312" spans="1:37" s="7" customFormat="1" ht="39" customHeight="1" x14ac:dyDescent="0.25">
      <c r="A312" s="13">
        <v>46157</v>
      </c>
      <c r="B312" s="12" t="s">
        <v>1</v>
      </c>
      <c r="C312" s="11" t="s">
        <v>0</v>
      </c>
      <c r="D312" s="11">
        <v>10</v>
      </c>
      <c r="E312" s="10">
        <v>53</v>
      </c>
      <c r="F312" s="10">
        <v>60</v>
      </c>
      <c r="G312" s="10">
        <v>25</v>
      </c>
      <c r="H312" s="10">
        <v>17</v>
      </c>
      <c r="I312" s="10"/>
      <c r="J312" s="10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>
        <v>13</v>
      </c>
      <c r="W312" s="6">
        <v>27</v>
      </c>
      <c r="X312" s="6"/>
      <c r="Y312" s="6"/>
      <c r="Z312" s="6">
        <v>22</v>
      </c>
      <c r="AA312" s="6"/>
      <c r="AB312" s="6">
        <f>SUM(E312:AA312)</f>
        <v>217</v>
      </c>
      <c r="AC312" s="6">
        <v>147</v>
      </c>
      <c r="AD312" s="9">
        <f>SUM(AB312:AC312)</f>
        <v>364</v>
      </c>
      <c r="AE312" s="8">
        <f>AB312/AD312</f>
        <v>0.59615384615384615</v>
      </c>
      <c r="AF312" s="6">
        <v>60</v>
      </c>
      <c r="AG312" s="6">
        <v>5</v>
      </c>
      <c r="AH312" s="6">
        <v>7</v>
      </c>
      <c r="AI312" s="9">
        <f>AH312+AG312+AF312</f>
        <v>72</v>
      </c>
      <c r="AJ312" s="8">
        <f>(AG312+AH312)/AI312</f>
        <v>0.16666666666666666</v>
      </c>
      <c r="AK312" s="6">
        <f>SUM(E312:W312)</f>
        <v>195</v>
      </c>
    </row>
    <row r="313" spans="1:37" s="7" customFormat="1" ht="39" customHeight="1" x14ac:dyDescent="0.25">
      <c r="A313" s="13">
        <v>46157</v>
      </c>
      <c r="B313" s="12" t="s">
        <v>1</v>
      </c>
      <c r="C313" s="11" t="s">
        <v>10</v>
      </c>
      <c r="D313" s="11">
        <v>11</v>
      </c>
      <c r="E313" s="10">
        <v>152</v>
      </c>
      <c r="F313" s="10">
        <v>169</v>
      </c>
      <c r="G313" s="10">
        <v>28</v>
      </c>
      <c r="H313" s="10">
        <v>62</v>
      </c>
      <c r="I313" s="10"/>
      <c r="J313" s="10"/>
      <c r="K313" s="6"/>
      <c r="L313" s="6"/>
      <c r="M313" s="6"/>
      <c r="N313" s="6"/>
      <c r="O313" s="6"/>
      <c r="P313" s="6"/>
      <c r="Q313" s="6"/>
      <c r="R313" s="6">
        <v>127</v>
      </c>
      <c r="S313" s="6"/>
      <c r="T313" s="6"/>
      <c r="U313" s="6"/>
      <c r="V313" s="6"/>
      <c r="W313" s="6"/>
      <c r="X313" s="6"/>
      <c r="Y313" s="6"/>
      <c r="Z313" s="6">
        <v>205</v>
      </c>
      <c r="AA313" s="6"/>
      <c r="AB313" s="6">
        <f>SUM(E313:AA313)</f>
        <v>743</v>
      </c>
      <c r="AC313" s="6">
        <v>290</v>
      </c>
      <c r="AD313" s="9">
        <f>SUM(AB313:AC313)</f>
        <v>1033</v>
      </c>
      <c r="AE313" s="8">
        <f>AB313/AD313</f>
        <v>0.71926427879961274</v>
      </c>
      <c r="AF313" s="14">
        <v>779</v>
      </c>
      <c r="AG313" s="6">
        <v>0</v>
      </c>
      <c r="AH313" s="14">
        <v>11</v>
      </c>
      <c r="AI313" s="9">
        <f>AH313+AG313+AF313</f>
        <v>790</v>
      </c>
      <c r="AJ313" s="8">
        <f>(AG313+AH313)/AI313</f>
        <v>1.3924050632911392E-2</v>
      </c>
      <c r="AK313" s="6">
        <f>SUM(E313:W313)</f>
        <v>538</v>
      </c>
    </row>
    <row r="314" spans="1:37" s="7" customFormat="1" ht="39" customHeight="1" x14ac:dyDescent="0.25">
      <c r="A314" s="13">
        <v>46157</v>
      </c>
      <c r="B314" s="21" t="s">
        <v>1</v>
      </c>
      <c r="C314" s="11" t="s">
        <v>18</v>
      </c>
      <c r="D314" s="11">
        <v>13</v>
      </c>
      <c r="E314" s="6">
        <v>254</v>
      </c>
      <c r="F314" s="10">
        <v>107</v>
      </c>
      <c r="G314" s="10">
        <v>40</v>
      </c>
      <c r="H314" s="10">
        <v>29</v>
      </c>
      <c r="I314" s="10"/>
      <c r="J314" s="10">
        <v>41</v>
      </c>
      <c r="K314" s="6"/>
      <c r="L314" s="6"/>
      <c r="M314" s="6"/>
      <c r="N314" s="6"/>
      <c r="O314" s="6"/>
      <c r="P314" s="6"/>
      <c r="Q314" s="6"/>
      <c r="R314" s="6">
        <v>47</v>
      </c>
      <c r="S314" s="6"/>
      <c r="T314" s="6"/>
      <c r="U314" s="6"/>
      <c r="V314" s="6"/>
      <c r="W314" s="6"/>
      <c r="X314" s="6"/>
      <c r="Y314" s="6"/>
      <c r="Z314" s="6">
        <v>47</v>
      </c>
      <c r="AA314" s="6"/>
      <c r="AB314" s="6">
        <f>SUM(E314:AA314)</f>
        <v>565</v>
      </c>
      <c r="AC314" s="6">
        <v>384</v>
      </c>
      <c r="AD314" s="9">
        <f>SUM(AB314:AC314)</f>
        <v>949</v>
      </c>
      <c r="AE314" s="8">
        <f>AB314/AD314</f>
        <v>0.59536354056901997</v>
      </c>
      <c r="AF314" s="6">
        <v>734</v>
      </c>
      <c r="AG314" s="6">
        <v>21</v>
      </c>
      <c r="AH314" s="6">
        <v>0</v>
      </c>
      <c r="AI314" s="9">
        <f>AH314+AG314+AF314</f>
        <v>755</v>
      </c>
      <c r="AJ314" s="8">
        <f>(AG314+AH314)/AI314</f>
        <v>2.781456953642384E-2</v>
      </c>
      <c r="AK314" s="6">
        <f>SUM(E314:W314)</f>
        <v>518</v>
      </c>
    </row>
    <row r="315" spans="1:37" s="7" customFormat="1" ht="39" customHeight="1" x14ac:dyDescent="0.25">
      <c r="A315" s="13">
        <v>46157</v>
      </c>
      <c r="B315" s="21" t="s">
        <v>1</v>
      </c>
      <c r="C315" s="11" t="s">
        <v>8</v>
      </c>
      <c r="D315" s="11">
        <v>14</v>
      </c>
      <c r="E315" s="10"/>
      <c r="F315" s="10">
        <v>105</v>
      </c>
      <c r="G315" s="10">
        <v>75</v>
      </c>
      <c r="H315" s="10"/>
      <c r="I315" s="10"/>
      <c r="J315" s="10"/>
      <c r="K315" s="6"/>
      <c r="L315" s="6">
        <v>70</v>
      </c>
      <c r="M315" s="6"/>
      <c r="N315" s="6">
        <v>30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>
        <v>45</v>
      </c>
      <c r="AA315" s="6"/>
      <c r="AB315" s="6">
        <f>SUM(E315:AA315)</f>
        <v>325</v>
      </c>
      <c r="AC315" s="6">
        <v>177</v>
      </c>
      <c r="AD315" s="9">
        <f>SUM(AB315:AC315)</f>
        <v>502</v>
      </c>
      <c r="AE315" s="8">
        <f>AB315/AD315</f>
        <v>0.64741035856573703</v>
      </c>
      <c r="AF315" s="6">
        <v>734</v>
      </c>
      <c r="AG315" s="6">
        <v>15</v>
      </c>
      <c r="AH315" s="6">
        <v>25</v>
      </c>
      <c r="AI315" s="9">
        <f>AH315+AG315+AF315</f>
        <v>774</v>
      </c>
      <c r="AJ315" s="8">
        <f>(AG315+AH315)/AI315</f>
        <v>5.1679586563307491E-2</v>
      </c>
      <c r="AK315" s="6">
        <f>SUM(E315:W315)</f>
        <v>280</v>
      </c>
    </row>
    <row r="316" spans="1:37" s="7" customFormat="1" ht="39" customHeight="1" x14ac:dyDescent="0.25">
      <c r="A316" s="13">
        <v>46157</v>
      </c>
      <c r="B316" s="12" t="s">
        <v>1</v>
      </c>
      <c r="C316" s="11" t="s">
        <v>7</v>
      </c>
      <c r="D316" s="11">
        <v>15</v>
      </c>
      <c r="E316" s="10">
        <v>12</v>
      </c>
      <c r="F316" s="10">
        <v>5</v>
      </c>
      <c r="G316" s="10">
        <v>33</v>
      </c>
      <c r="H316" s="10">
        <v>10</v>
      </c>
      <c r="I316" s="10">
        <v>8</v>
      </c>
      <c r="J316" s="10">
        <v>9</v>
      </c>
      <c r="K316" s="6"/>
      <c r="L316" s="6">
        <v>7</v>
      </c>
      <c r="M316" s="6"/>
      <c r="N316" s="6">
        <v>6</v>
      </c>
      <c r="O316" s="6"/>
      <c r="P316" s="6"/>
      <c r="Q316" s="6"/>
      <c r="R316" s="6">
        <f>2+7</f>
        <v>9</v>
      </c>
      <c r="S316" s="6"/>
      <c r="T316" s="6"/>
      <c r="U316" s="6"/>
      <c r="V316" s="6">
        <v>13</v>
      </c>
      <c r="W316" s="6"/>
      <c r="X316" s="6"/>
      <c r="Y316" s="6"/>
      <c r="Z316" s="6">
        <f>3+8+4+4+3+3</f>
        <v>25</v>
      </c>
      <c r="AA316" s="6"/>
      <c r="AB316" s="6">
        <f>SUM(E316:AA316)</f>
        <v>137</v>
      </c>
      <c r="AC316" s="6">
        <v>104</v>
      </c>
      <c r="AD316" s="9">
        <f>SUM(AB316:AC316)</f>
        <v>241</v>
      </c>
      <c r="AE316" s="8">
        <f>AB316/AD316</f>
        <v>0.56846473029045641</v>
      </c>
      <c r="AF316" s="6">
        <v>202</v>
      </c>
      <c r="AG316" s="6">
        <v>0</v>
      </c>
      <c r="AH316" s="6">
        <v>10</v>
      </c>
      <c r="AI316" s="9">
        <f>AH316+AG316+AF316</f>
        <v>212</v>
      </c>
      <c r="AJ316" s="8">
        <f>(AG316+AH316)/AI316</f>
        <v>4.716981132075472E-2</v>
      </c>
      <c r="AK316" s="6">
        <f>SUM(E316:W316)</f>
        <v>112</v>
      </c>
    </row>
    <row r="317" spans="1:37" s="7" customFormat="1" ht="39" customHeight="1" x14ac:dyDescent="0.25">
      <c r="A317" s="13">
        <v>46157</v>
      </c>
      <c r="B317" s="21" t="s">
        <v>1</v>
      </c>
      <c r="C317" s="11" t="s">
        <v>10</v>
      </c>
      <c r="D317" s="11">
        <v>16</v>
      </c>
      <c r="E317" s="10">
        <v>10</v>
      </c>
      <c r="F317" s="10">
        <v>7</v>
      </c>
      <c r="G317" s="10">
        <v>5</v>
      </c>
      <c r="H317" s="10">
        <v>10</v>
      </c>
      <c r="I317" s="10"/>
      <c r="J317" s="10">
        <v>5</v>
      </c>
      <c r="K317" s="6"/>
      <c r="L317" s="6"/>
      <c r="M317" s="6"/>
      <c r="N317" s="6"/>
      <c r="O317" s="6"/>
      <c r="P317" s="6"/>
      <c r="Q317" s="6"/>
      <c r="R317" s="6">
        <v>7</v>
      </c>
      <c r="S317" s="6"/>
      <c r="T317" s="6"/>
      <c r="U317" s="6"/>
      <c r="V317" s="6"/>
      <c r="W317" s="6"/>
      <c r="X317" s="6"/>
      <c r="Y317" s="6"/>
      <c r="Z317" s="6"/>
      <c r="AA317" s="6"/>
      <c r="AB317" s="6">
        <f>SUM(E317:AA317)</f>
        <v>44</v>
      </c>
      <c r="AC317" s="6">
        <v>506</v>
      </c>
      <c r="AD317" s="9">
        <f>SUM(AB317:AC317)</f>
        <v>550</v>
      </c>
      <c r="AE317" s="8">
        <f>AB317/AD317</f>
        <v>0.08</v>
      </c>
      <c r="AF317" s="14">
        <v>316</v>
      </c>
      <c r="AG317" s="6">
        <v>0</v>
      </c>
      <c r="AH317" s="14">
        <v>23</v>
      </c>
      <c r="AI317" s="9">
        <f>AH317+AG317+AF317</f>
        <v>339</v>
      </c>
      <c r="AJ317" s="8">
        <f>(AG317+AH317)/AI317</f>
        <v>6.7846607669616518E-2</v>
      </c>
      <c r="AK317" s="6">
        <f>SUM(E317:W317)</f>
        <v>44</v>
      </c>
    </row>
    <row r="318" spans="1:37" s="7" customFormat="1" ht="39" customHeight="1" x14ac:dyDescent="0.25">
      <c r="A318" s="13">
        <v>46157</v>
      </c>
      <c r="B318" s="21" t="s">
        <v>1</v>
      </c>
      <c r="C318" s="11" t="s">
        <v>12</v>
      </c>
      <c r="D318" s="11">
        <v>17</v>
      </c>
      <c r="E318" s="10">
        <v>18</v>
      </c>
      <c r="F318" s="10">
        <v>77</v>
      </c>
      <c r="G318" s="10">
        <v>12</v>
      </c>
      <c r="H318" s="10">
        <v>14</v>
      </c>
      <c r="I318" s="10"/>
      <c r="J318" s="10"/>
      <c r="K318" s="6"/>
      <c r="L318" s="6"/>
      <c r="M318" s="6"/>
      <c r="N318" s="6"/>
      <c r="O318" s="6"/>
      <c r="P318" s="6"/>
      <c r="Q318" s="6"/>
      <c r="R318" s="6">
        <v>66</v>
      </c>
      <c r="S318" s="6"/>
      <c r="T318" s="6"/>
      <c r="U318" s="6"/>
      <c r="V318" s="6"/>
      <c r="W318" s="6"/>
      <c r="X318" s="6"/>
      <c r="Y318" s="6"/>
      <c r="Z318" s="6">
        <f>19+27+6</f>
        <v>52</v>
      </c>
      <c r="AA318" s="6"/>
      <c r="AB318" s="6">
        <f>SUM(E318:AA318)</f>
        <v>239</v>
      </c>
      <c r="AC318" s="6">
        <v>535</v>
      </c>
      <c r="AD318" s="9">
        <f>SUM(AB318:AC318)</f>
        <v>774</v>
      </c>
      <c r="AE318" s="8">
        <f>AB318/AD318</f>
        <v>0.30878552971576229</v>
      </c>
      <c r="AF318" s="14">
        <v>599</v>
      </c>
      <c r="AG318" s="6">
        <v>0</v>
      </c>
      <c r="AH318" s="14">
        <v>13</v>
      </c>
      <c r="AI318" s="9">
        <f>AH318+AG318+AF318</f>
        <v>612</v>
      </c>
      <c r="AJ318" s="8">
        <f>(AG318+AH318)/AI318</f>
        <v>2.1241830065359478E-2</v>
      </c>
      <c r="AK318" s="6">
        <f>SUM(E318:W318)</f>
        <v>187</v>
      </c>
    </row>
    <row r="319" spans="1:37" s="7" customFormat="1" ht="39" customHeight="1" x14ac:dyDescent="0.25">
      <c r="A319" s="13">
        <v>46157</v>
      </c>
      <c r="B319" s="21" t="s">
        <v>1</v>
      </c>
      <c r="C319" s="21" t="s">
        <v>6</v>
      </c>
      <c r="D319" s="21">
        <v>18</v>
      </c>
      <c r="E319" s="10">
        <v>118</v>
      </c>
      <c r="F319" s="10"/>
      <c r="G319" s="10"/>
      <c r="H319" s="10"/>
      <c r="I319" s="10"/>
      <c r="J319" s="10">
        <v>19</v>
      </c>
      <c r="K319" s="6"/>
      <c r="L319" s="6"/>
      <c r="M319" s="6"/>
      <c r="N319" s="6">
        <v>40</v>
      </c>
      <c r="O319" s="6"/>
      <c r="P319" s="6"/>
      <c r="Q319" s="6"/>
      <c r="R319" s="6">
        <v>23</v>
      </c>
      <c r="S319" s="6"/>
      <c r="T319" s="6"/>
      <c r="U319" s="6"/>
      <c r="V319" s="6"/>
      <c r="W319" s="6"/>
      <c r="X319" s="6"/>
      <c r="Y319" s="6"/>
      <c r="Z319" s="6">
        <v>36</v>
      </c>
      <c r="AA319" s="6"/>
      <c r="AB319" s="6">
        <f>SUM(E319:AA319)</f>
        <v>236</v>
      </c>
      <c r="AC319" s="6">
        <v>565</v>
      </c>
      <c r="AD319" s="9">
        <f>SUM(AB319:AC319)</f>
        <v>801</v>
      </c>
      <c r="AE319" s="8">
        <f>AB319/AD319</f>
        <v>0.29463171036204744</v>
      </c>
      <c r="AF319" s="6">
        <v>890</v>
      </c>
      <c r="AG319" s="6">
        <v>0</v>
      </c>
      <c r="AH319" s="6">
        <v>15</v>
      </c>
      <c r="AI319" s="9">
        <f>AH319+AG319+AF319</f>
        <v>905</v>
      </c>
      <c r="AJ319" s="8">
        <f>(AG319+AH319)/AI319</f>
        <v>1.6574585635359115E-2</v>
      </c>
      <c r="AK319" s="6">
        <f>SUM(E319:W319)</f>
        <v>200</v>
      </c>
    </row>
    <row r="320" spans="1:37" s="7" customFormat="1" ht="39" customHeight="1" x14ac:dyDescent="0.25">
      <c r="A320" s="13">
        <v>46157</v>
      </c>
      <c r="B320" s="21" t="s">
        <v>1</v>
      </c>
      <c r="C320" s="11" t="s">
        <v>10</v>
      </c>
      <c r="D320" s="11">
        <v>19</v>
      </c>
      <c r="E320" s="21">
        <v>77</v>
      </c>
      <c r="F320" s="21">
        <v>37</v>
      </c>
      <c r="G320" s="21"/>
      <c r="H320" s="21"/>
      <c r="I320" s="21">
        <v>32</v>
      </c>
      <c r="J320" s="21"/>
      <c r="K320" s="21"/>
      <c r="L320" s="6"/>
      <c r="M320" s="21"/>
      <c r="N320" s="21"/>
      <c r="O320" s="21"/>
      <c r="P320" s="21">
        <v>11</v>
      </c>
      <c r="Q320" s="21"/>
      <c r="R320" s="6">
        <f>17+32</f>
        <v>49</v>
      </c>
      <c r="S320" s="6"/>
      <c r="T320" s="6"/>
      <c r="U320" s="21"/>
      <c r="V320" s="21"/>
      <c r="W320" s="6"/>
      <c r="X320" s="6"/>
      <c r="Y320" s="6"/>
      <c r="Z320" s="6">
        <f>18+21+13+15+17</f>
        <v>84</v>
      </c>
      <c r="AA320" s="6"/>
      <c r="AB320" s="6">
        <f>SUM(E320:AA320)</f>
        <v>290</v>
      </c>
      <c r="AC320" s="22">
        <v>496</v>
      </c>
      <c r="AD320" s="9">
        <f>SUM(AB320:AC320)</f>
        <v>786</v>
      </c>
      <c r="AE320" s="8">
        <f>AB320/AD320</f>
        <v>0.36895674300254455</v>
      </c>
      <c r="AF320" s="6">
        <v>380</v>
      </c>
      <c r="AG320" s="6">
        <v>10</v>
      </c>
      <c r="AH320" s="6">
        <v>16</v>
      </c>
      <c r="AI320" s="9">
        <f>AH320+AG320+AF320</f>
        <v>406</v>
      </c>
      <c r="AJ320" s="8">
        <f>(AG320+AH320)/AI320</f>
        <v>6.4039408866995079E-2</v>
      </c>
      <c r="AK320" s="6">
        <f>SUM(E320:W320)</f>
        <v>206</v>
      </c>
    </row>
    <row r="321" spans="1:37" s="7" customFormat="1" ht="39" customHeight="1" x14ac:dyDescent="0.25">
      <c r="A321" s="13">
        <v>46157</v>
      </c>
      <c r="B321" s="21" t="s">
        <v>1</v>
      </c>
      <c r="C321" s="11" t="s">
        <v>9</v>
      </c>
      <c r="D321" s="11">
        <v>20</v>
      </c>
      <c r="E321" s="10">
        <v>87</v>
      </c>
      <c r="F321" s="10">
        <v>25</v>
      </c>
      <c r="G321" s="10">
        <v>28</v>
      </c>
      <c r="H321" s="10">
        <v>47</v>
      </c>
      <c r="I321" s="10">
        <v>52</v>
      </c>
      <c r="J321" s="10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>
        <v>50</v>
      </c>
      <c r="AA321" s="6"/>
      <c r="AB321" s="6">
        <f>SUM(E321:AA321)</f>
        <v>289</v>
      </c>
      <c r="AC321" s="6">
        <v>316</v>
      </c>
      <c r="AD321" s="9">
        <f>SUM(AB321:AC321)</f>
        <v>605</v>
      </c>
      <c r="AE321" s="8">
        <f>AB321/AD321</f>
        <v>0.47768595041322315</v>
      </c>
      <c r="AF321" s="6">
        <v>70</v>
      </c>
      <c r="AG321" s="6">
        <v>0</v>
      </c>
      <c r="AH321" s="6">
        <v>12</v>
      </c>
      <c r="AI321" s="9">
        <f>AH321+AG321+AF321</f>
        <v>82</v>
      </c>
      <c r="AJ321" s="8">
        <f>(AG321+AH321)/AI321</f>
        <v>0.14634146341463414</v>
      </c>
      <c r="AK321" s="6">
        <f>SUM(E321:W321)</f>
        <v>239</v>
      </c>
    </row>
    <row r="322" spans="1:37" s="7" customFormat="1" ht="39" customHeight="1" x14ac:dyDescent="0.25">
      <c r="A322" s="13">
        <v>46157</v>
      </c>
      <c r="B322" s="27" t="s">
        <v>5</v>
      </c>
      <c r="C322" s="27" t="s">
        <v>4</v>
      </c>
      <c r="D322" s="11">
        <v>21</v>
      </c>
      <c r="E322" s="10">
        <v>90</v>
      </c>
      <c r="F322" s="10">
        <v>55</v>
      </c>
      <c r="G322" s="10">
        <v>18</v>
      </c>
      <c r="H322" s="10">
        <v>25</v>
      </c>
      <c r="I322" s="10"/>
      <c r="J322" s="10"/>
      <c r="K322" s="6">
        <v>35</v>
      </c>
      <c r="L322" s="6"/>
      <c r="M322" s="6">
        <v>85</v>
      </c>
      <c r="N322" s="6"/>
      <c r="O322" s="6"/>
      <c r="P322" s="6"/>
      <c r="Q322" s="6"/>
      <c r="R322" s="6">
        <v>25</v>
      </c>
      <c r="S322" s="6"/>
      <c r="T322" s="6"/>
      <c r="U322" s="6"/>
      <c r="V322" s="6"/>
      <c r="W322" s="6"/>
      <c r="X322" s="6"/>
      <c r="Y322" s="6"/>
      <c r="Z322" s="6">
        <f>90+40</f>
        <v>130</v>
      </c>
      <c r="AA322" s="6"/>
      <c r="AB322" s="6">
        <f>SUM(E322:AA322)</f>
        <v>463</v>
      </c>
      <c r="AC322" s="6">
        <v>234</v>
      </c>
      <c r="AD322" s="9">
        <f>SUM(AB322:AC322)</f>
        <v>697</v>
      </c>
      <c r="AE322" s="8">
        <f>AB322/AD322</f>
        <v>0.66427546628407463</v>
      </c>
      <c r="AF322" s="14">
        <v>725</v>
      </c>
      <c r="AG322" s="6">
        <v>0</v>
      </c>
      <c r="AH322" s="14">
        <v>21</v>
      </c>
      <c r="AI322" s="9">
        <f>AH322+AG322+AF322</f>
        <v>746</v>
      </c>
      <c r="AJ322" s="8">
        <f>(AG322+AH322)/AI322</f>
        <v>2.8150134048257374E-2</v>
      </c>
      <c r="AK322" s="6">
        <f>SUM(E322:W322)</f>
        <v>333</v>
      </c>
    </row>
    <row r="323" spans="1:37" s="7" customFormat="1" ht="39" customHeight="1" x14ac:dyDescent="0.25">
      <c r="A323" s="13">
        <v>46157</v>
      </c>
      <c r="B323" s="21" t="s">
        <v>1</v>
      </c>
      <c r="C323" s="11" t="s">
        <v>8</v>
      </c>
      <c r="D323" s="11">
        <v>22</v>
      </c>
      <c r="E323" s="10">
        <v>34</v>
      </c>
      <c r="F323" s="10">
        <v>23</v>
      </c>
      <c r="G323" s="10">
        <v>30</v>
      </c>
      <c r="H323" s="10">
        <v>20</v>
      </c>
      <c r="I323" s="10">
        <v>10</v>
      </c>
      <c r="J323" s="10">
        <v>13</v>
      </c>
      <c r="K323" s="6">
        <v>2</v>
      </c>
      <c r="L323" s="6">
        <v>7</v>
      </c>
      <c r="M323" s="6"/>
      <c r="N323" s="6"/>
      <c r="O323" s="6">
        <v>26</v>
      </c>
      <c r="P323" s="6"/>
      <c r="Q323" s="6"/>
      <c r="R323" s="6">
        <f>19+49</f>
        <v>68</v>
      </c>
      <c r="S323" s="6"/>
      <c r="T323" s="6"/>
      <c r="U323" s="6"/>
      <c r="V323" s="6">
        <v>15</v>
      </c>
      <c r="W323" s="6"/>
      <c r="X323" s="6">
        <v>10</v>
      </c>
      <c r="Y323" s="6"/>
      <c r="Z323" s="6"/>
      <c r="AA323" s="6"/>
      <c r="AB323" s="6">
        <f>SUM(E323:AA323)</f>
        <v>258</v>
      </c>
      <c r="AC323" s="6">
        <v>197</v>
      </c>
      <c r="AD323" s="9">
        <f>SUM(AB323:AC323)</f>
        <v>455</v>
      </c>
      <c r="AE323" s="8">
        <f>AB323/AD323</f>
        <v>0.56703296703296702</v>
      </c>
      <c r="AF323" s="6">
        <v>1119</v>
      </c>
      <c r="AG323" s="6">
        <v>0</v>
      </c>
      <c r="AH323" s="6">
        <v>15</v>
      </c>
      <c r="AI323" s="9">
        <f>AH323+AG323+AF323</f>
        <v>1134</v>
      </c>
      <c r="AJ323" s="8">
        <f>(AG323+AH323)/AI323</f>
        <v>1.3227513227513227E-2</v>
      </c>
      <c r="AK323" s="6">
        <f>SUM(E323:W323)</f>
        <v>248</v>
      </c>
    </row>
    <row r="324" spans="1:37" s="7" customFormat="1" ht="39" customHeight="1" x14ac:dyDescent="0.25">
      <c r="A324" s="13">
        <v>46157</v>
      </c>
      <c r="B324" s="21" t="s">
        <v>1</v>
      </c>
      <c r="C324" s="11" t="s">
        <v>10</v>
      </c>
      <c r="D324" s="11">
        <v>23</v>
      </c>
      <c r="E324" s="10">
        <v>35</v>
      </c>
      <c r="F324" s="10">
        <v>36</v>
      </c>
      <c r="G324" s="10"/>
      <c r="H324" s="10">
        <v>27</v>
      </c>
      <c r="I324" s="10">
        <v>26</v>
      </c>
      <c r="J324" s="10"/>
      <c r="K324" s="6"/>
      <c r="L324" s="6"/>
      <c r="M324" s="6"/>
      <c r="N324" s="6"/>
      <c r="O324" s="6"/>
      <c r="P324" s="6"/>
      <c r="Q324" s="6"/>
      <c r="R324" s="6">
        <v>10</v>
      </c>
      <c r="S324" s="6"/>
      <c r="T324" s="6"/>
      <c r="U324" s="6"/>
      <c r="V324" s="6"/>
      <c r="W324" s="6"/>
      <c r="X324" s="6"/>
      <c r="Y324" s="6"/>
      <c r="Z324" s="6">
        <v>15</v>
      </c>
      <c r="AA324" s="6"/>
      <c r="AB324" s="6">
        <f>SUM(E324:AA324)</f>
        <v>149</v>
      </c>
      <c r="AC324" s="6">
        <v>327</v>
      </c>
      <c r="AD324" s="9">
        <f>SUM(AB324:AC324)</f>
        <v>476</v>
      </c>
      <c r="AE324" s="8">
        <f>AB324/AD324</f>
        <v>0.31302521008403361</v>
      </c>
      <c r="AF324" s="6">
        <v>372</v>
      </c>
      <c r="AG324" s="6">
        <v>0</v>
      </c>
      <c r="AH324" s="6">
        <v>26</v>
      </c>
      <c r="AI324" s="9">
        <f>AH324+AG324+AF324</f>
        <v>398</v>
      </c>
      <c r="AJ324" s="8">
        <f>(AG324+AH324)/AI324</f>
        <v>6.5326633165829151E-2</v>
      </c>
      <c r="AK324" s="6">
        <f>SUM(E324:W324)</f>
        <v>134</v>
      </c>
    </row>
    <row r="325" spans="1:37" s="7" customFormat="1" ht="39" customHeight="1" x14ac:dyDescent="0.25">
      <c r="A325" s="13">
        <v>46157</v>
      </c>
      <c r="B325" s="21" t="s">
        <v>1</v>
      </c>
      <c r="C325" s="21" t="s">
        <v>6</v>
      </c>
      <c r="D325" s="11">
        <v>24</v>
      </c>
      <c r="E325" s="10">
        <v>27</v>
      </c>
      <c r="F325" s="10"/>
      <c r="G325" s="10">
        <v>43</v>
      </c>
      <c r="H325" s="10">
        <v>55</v>
      </c>
      <c r="I325" s="10"/>
      <c r="J325" s="10">
        <v>10</v>
      </c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>
        <v>29</v>
      </c>
      <c r="AA325" s="6"/>
      <c r="AB325" s="6">
        <f>SUM(E325:AA325)</f>
        <v>164</v>
      </c>
      <c r="AC325" s="6">
        <v>741</v>
      </c>
      <c r="AD325" s="9">
        <f>SUM(AB325:AC325)</f>
        <v>905</v>
      </c>
      <c r="AE325" s="8">
        <f>AB325/AD325</f>
        <v>0.18121546961325966</v>
      </c>
      <c r="AF325" s="6">
        <v>1110</v>
      </c>
      <c r="AG325" s="6">
        <v>5</v>
      </c>
      <c r="AH325" s="14">
        <v>11</v>
      </c>
      <c r="AI325" s="9">
        <f>AH325+AG325+AF325</f>
        <v>1126</v>
      </c>
      <c r="AJ325" s="8">
        <f>(AG325+AH325)/AI325</f>
        <v>1.4209591474245116E-2</v>
      </c>
      <c r="AK325" s="6">
        <f>SUM(E325:W325)</f>
        <v>135</v>
      </c>
    </row>
    <row r="326" spans="1:37" s="7" customFormat="1" ht="39" customHeight="1" x14ac:dyDescent="0.25">
      <c r="A326" s="13">
        <v>46157</v>
      </c>
      <c r="B326" s="27" t="s">
        <v>5</v>
      </c>
      <c r="C326" s="27" t="s">
        <v>4</v>
      </c>
      <c r="D326" s="11">
        <v>25</v>
      </c>
      <c r="E326" s="10">
        <v>395</v>
      </c>
      <c r="F326" s="10">
        <v>335</v>
      </c>
      <c r="G326" s="10">
        <v>360</v>
      </c>
      <c r="H326" s="10">
        <v>180</v>
      </c>
      <c r="I326" s="10"/>
      <c r="J326" s="10">
        <v>610</v>
      </c>
      <c r="K326" s="6">
        <v>65</v>
      </c>
      <c r="L326" s="6"/>
      <c r="M326" s="6"/>
      <c r="N326" s="6"/>
      <c r="O326" s="6"/>
      <c r="P326" s="6"/>
      <c r="Q326" s="6"/>
      <c r="R326" s="6">
        <v>175</v>
      </c>
      <c r="S326" s="6"/>
      <c r="T326" s="6"/>
      <c r="U326" s="6"/>
      <c r="V326" s="6"/>
      <c r="W326" s="6"/>
      <c r="X326" s="6">
        <v>110</v>
      </c>
      <c r="Y326" s="6"/>
      <c r="Z326" s="6">
        <v>600</v>
      </c>
      <c r="AA326" s="6"/>
      <c r="AB326" s="6">
        <f>SUM(E326:AA326)</f>
        <v>2830</v>
      </c>
      <c r="AC326" s="6">
        <v>270</v>
      </c>
      <c r="AD326" s="9">
        <f>SUM(AB326:AC326)</f>
        <v>3100</v>
      </c>
      <c r="AE326" s="8">
        <f>AB326/AD326</f>
        <v>0.91290322580645167</v>
      </c>
      <c r="AF326" s="6">
        <v>630</v>
      </c>
      <c r="AG326" s="6">
        <v>16</v>
      </c>
      <c r="AH326" s="14">
        <v>5</v>
      </c>
      <c r="AI326" s="9">
        <f>AH326+AG326+AF326</f>
        <v>651</v>
      </c>
      <c r="AJ326" s="8">
        <f>(AG326+AH326)/AI326</f>
        <v>3.2258064516129031E-2</v>
      </c>
      <c r="AK326" s="6">
        <f>SUM(E326:W326)</f>
        <v>2120</v>
      </c>
    </row>
    <row r="327" spans="1:37" s="7" customFormat="1" ht="39" customHeight="1" x14ac:dyDescent="0.25">
      <c r="A327" s="13">
        <v>46157</v>
      </c>
      <c r="B327" s="27" t="s">
        <v>5</v>
      </c>
      <c r="C327" s="27" t="s">
        <v>4</v>
      </c>
      <c r="D327" s="11">
        <v>26</v>
      </c>
      <c r="E327" s="10">
        <v>4</v>
      </c>
      <c r="F327" s="10">
        <v>24</v>
      </c>
      <c r="G327" s="10">
        <v>10</v>
      </c>
      <c r="H327" s="10">
        <v>5</v>
      </c>
      <c r="I327" s="10"/>
      <c r="J327" s="10">
        <v>125</v>
      </c>
      <c r="K327" s="6"/>
      <c r="L327" s="6"/>
      <c r="M327" s="6"/>
      <c r="N327" s="6"/>
      <c r="O327" s="6"/>
      <c r="P327" s="6"/>
      <c r="Q327" s="6"/>
      <c r="R327" s="6">
        <v>20</v>
      </c>
      <c r="S327" s="6"/>
      <c r="T327" s="6"/>
      <c r="U327" s="6"/>
      <c r="V327" s="6"/>
      <c r="W327" s="6"/>
      <c r="X327" s="6"/>
      <c r="Y327" s="6"/>
      <c r="Z327" s="6">
        <v>12</v>
      </c>
      <c r="AA327" s="6"/>
      <c r="AB327" s="6">
        <f>SUM(E327:AA327)</f>
        <v>200</v>
      </c>
      <c r="AC327" s="6">
        <v>354</v>
      </c>
      <c r="AD327" s="9">
        <f>SUM(AB327:AC327)</f>
        <v>554</v>
      </c>
      <c r="AE327" s="8">
        <f>AB327/AD327</f>
        <v>0.36101083032490977</v>
      </c>
      <c r="AF327" s="14">
        <v>565</v>
      </c>
      <c r="AG327" s="6">
        <v>5</v>
      </c>
      <c r="AH327" s="14">
        <v>10</v>
      </c>
      <c r="AI327" s="9">
        <f>AH327+AG327+AF327</f>
        <v>580</v>
      </c>
      <c r="AJ327" s="8">
        <f>(AG327+AH327)/AI327</f>
        <v>2.5862068965517241E-2</v>
      </c>
      <c r="AK327" s="6">
        <f>SUM(E327:W327)</f>
        <v>188</v>
      </c>
    </row>
    <row r="328" spans="1:37" s="7" customFormat="1" ht="39" customHeight="1" x14ac:dyDescent="0.25">
      <c r="A328" s="13">
        <v>46157</v>
      </c>
      <c r="B328" s="27" t="s">
        <v>1</v>
      </c>
      <c r="C328" s="27" t="s">
        <v>2</v>
      </c>
      <c r="D328" s="11">
        <v>27</v>
      </c>
      <c r="E328" s="10">
        <v>171</v>
      </c>
      <c r="F328" s="10">
        <v>186</v>
      </c>
      <c r="G328" s="10">
        <v>35</v>
      </c>
      <c r="H328" s="10">
        <v>48</v>
      </c>
      <c r="I328" s="10">
        <v>54</v>
      </c>
      <c r="J328" s="10">
        <v>52</v>
      </c>
      <c r="K328" s="6"/>
      <c r="L328" s="6">
        <v>36</v>
      </c>
      <c r="M328" s="6"/>
      <c r="N328" s="6"/>
      <c r="O328" s="6"/>
      <c r="P328" s="6">
        <v>54</v>
      </c>
      <c r="Q328" s="6"/>
      <c r="R328" s="6">
        <f>22+33</f>
        <v>55</v>
      </c>
      <c r="S328" s="6"/>
      <c r="T328" s="6"/>
      <c r="U328" s="6"/>
      <c r="V328" s="6"/>
      <c r="W328" s="6"/>
      <c r="X328" s="6"/>
      <c r="Y328" s="6"/>
      <c r="Z328" s="6">
        <v>96</v>
      </c>
      <c r="AA328" s="6"/>
      <c r="AB328" s="6">
        <f>SUM(E328:AA328)</f>
        <v>787</v>
      </c>
      <c r="AC328" s="6">
        <v>78</v>
      </c>
      <c r="AD328" s="9">
        <f>SUM(AB328:AC328)</f>
        <v>865</v>
      </c>
      <c r="AE328" s="8">
        <f>AB328/AD328</f>
        <v>0.90982658959537577</v>
      </c>
      <c r="AF328" s="14">
        <v>530</v>
      </c>
      <c r="AG328" s="6">
        <v>0</v>
      </c>
      <c r="AH328" s="14">
        <v>26</v>
      </c>
      <c r="AI328" s="9">
        <f>AH328+AG328+AF328</f>
        <v>556</v>
      </c>
      <c r="AJ328" s="8">
        <f>(AG328+AH328)/AI328</f>
        <v>4.6762589928057555E-2</v>
      </c>
      <c r="AK328" s="6">
        <f>SUM(E328:W328)</f>
        <v>691</v>
      </c>
    </row>
    <row r="329" spans="1:37" s="7" customFormat="1" ht="39" customHeight="1" x14ac:dyDescent="0.25">
      <c r="A329" s="13">
        <v>46157</v>
      </c>
      <c r="B329" s="21" t="s">
        <v>1</v>
      </c>
      <c r="C329" s="11" t="s">
        <v>0</v>
      </c>
      <c r="D329" s="11">
        <v>28</v>
      </c>
      <c r="E329" s="10">
        <v>120</v>
      </c>
      <c r="F329" s="10">
        <f>15+30+35</f>
        <v>80</v>
      </c>
      <c r="G329" s="10">
        <v>10</v>
      </c>
      <c r="H329" s="10">
        <v>35</v>
      </c>
      <c r="I329" s="10">
        <v>20</v>
      </c>
      <c r="J329" s="10">
        <v>15</v>
      </c>
      <c r="K329" s="6"/>
      <c r="L329" s="6">
        <v>10</v>
      </c>
      <c r="M329" s="6"/>
      <c r="N329" s="6"/>
      <c r="O329" s="6"/>
      <c r="P329" s="6"/>
      <c r="Q329" s="6"/>
      <c r="R329" s="6">
        <v>10</v>
      </c>
      <c r="S329" s="6"/>
      <c r="T329" s="6"/>
      <c r="U329" s="6"/>
      <c r="V329" s="6"/>
      <c r="W329" s="6"/>
      <c r="X329" s="6"/>
      <c r="Y329" s="6"/>
      <c r="Z329" s="6">
        <f>10+8</f>
        <v>18</v>
      </c>
      <c r="AA329" s="6"/>
      <c r="AB329" s="6">
        <f>SUM(E329:AA329)</f>
        <v>318</v>
      </c>
      <c r="AC329" s="6">
        <v>47</v>
      </c>
      <c r="AD329" s="9">
        <f>SUM(AB329:AC329)</f>
        <v>365</v>
      </c>
      <c r="AE329" s="8">
        <f>AB329/AD329</f>
        <v>0.87123287671232874</v>
      </c>
      <c r="AF329" s="14">
        <v>464</v>
      </c>
      <c r="AG329" s="6">
        <v>2</v>
      </c>
      <c r="AH329" s="14">
        <v>22</v>
      </c>
      <c r="AI329" s="9">
        <f>AH329+AG329+AF329</f>
        <v>488</v>
      </c>
      <c r="AJ329" s="8">
        <f>(AG329+AH329)/AI329</f>
        <v>4.9180327868852458E-2</v>
      </c>
      <c r="AK329" s="6">
        <f>SUM(E329:W329)</f>
        <v>300</v>
      </c>
    </row>
    <row r="330" spans="1:37" s="7" customFormat="1" ht="39" customHeight="1" x14ac:dyDescent="0.25">
      <c r="A330" s="20">
        <v>46158</v>
      </c>
      <c r="B330" s="19" t="s">
        <v>1</v>
      </c>
      <c r="C330" s="25" t="s">
        <v>3</v>
      </c>
      <c r="D330" s="25">
        <v>1</v>
      </c>
      <c r="E330" s="24">
        <v>21</v>
      </c>
      <c r="F330" s="24">
        <v>28</v>
      </c>
      <c r="G330" s="24">
        <v>13</v>
      </c>
      <c r="H330" s="24"/>
      <c r="I330" s="24"/>
      <c r="J330" s="24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>
        <v>4</v>
      </c>
      <c r="Y330" s="15"/>
      <c r="Z330" s="15">
        <v>4</v>
      </c>
      <c r="AA330" s="15"/>
      <c r="AB330" s="15">
        <f>SUM(E330:AA330)</f>
        <v>70</v>
      </c>
      <c r="AC330" s="15">
        <v>163</v>
      </c>
      <c r="AD330" s="17">
        <f>SUM(AB330:AC330)</f>
        <v>233</v>
      </c>
      <c r="AE330" s="16">
        <f>AB330/AD330</f>
        <v>0.30042918454935624</v>
      </c>
      <c r="AF330" s="15">
        <v>523</v>
      </c>
      <c r="AG330" s="15">
        <v>0</v>
      </c>
      <c r="AH330" s="15">
        <v>15</v>
      </c>
      <c r="AI330" s="17">
        <f>AH330+AG330+AF330</f>
        <v>538</v>
      </c>
      <c r="AJ330" s="16">
        <f>(AG330+AH330)/AI330</f>
        <v>2.7881040892193308E-2</v>
      </c>
      <c r="AK330" s="15">
        <f>SUM(E330:W330)</f>
        <v>62</v>
      </c>
    </row>
    <row r="331" spans="1:37" s="7" customFormat="1" ht="39" customHeight="1" x14ac:dyDescent="0.25">
      <c r="A331" s="13">
        <v>46158</v>
      </c>
      <c r="B331" s="21" t="s">
        <v>1</v>
      </c>
      <c r="C331" s="11" t="s">
        <v>17</v>
      </c>
      <c r="D331" s="11">
        <v>2</v>
      </c>
      <c r="E331" s="6">
        <v>150</v>
      </c>
      <c r="F331" s="10">
        <v>130</v>
      </c>
      <c r="G331" s="10"/>
      <c r="H331" s="10">
        <v>75</v>
      </c>
      <c r="I331" s="10"/>
      <c r="J331" s="10"/>
      <c r="K331" s="6"/>
      <c r="L331" s="6"/>
      <c r="M331" s="6"/>
      <c r="N331" s="6"/>
      <c r="O331" s="6"/>
      <c r="P331" s="6"/>
      <c r="Q331" s="6"/>
      <c r="R331" s="6">
        <v>40</v>
      </c>
      <c r="S331" s="6"/>
      <c r="T331" s="6"/>
      <c r="U331" s="6"/>
      <c r="V331" s="6"/>
      <c r="W331" s="6"/>
      <c r="X331" s="6"/>
      <c r="Y331" s="6"/>
      <c r="Z331" s="6">
        <v>55</v>
      </c>
      <c r="AA331" s="6"/>
      <c r="AB331" s="6">
        <f>SUM(E331:AA331)</f>
        <v>450</v>
      </c>
      <c r="AC331" s="6">
        <v>145</v>
      </c>
      <c r="AD331" s="9">
        <f>SUM(AB331:AC331)</f>
        <v>595</v>
      </c>
      <c r="AE331" s="8">
        <f>AB331/AD331</f>
        <v>0.75630252100840334</v>
      </c>
      <c r="AF331" s="14">
        <v>498</v>
      </c>
      <c r="AG331" s="6">
        <v>2</v>
      </c>
      <c r="AH331" s="14">
        <v>22</v>
      </c>
      <c r="AI331" s="9">
        <f>AH331+AG331+AF331</f>
        <v>522</v>
      </c>
      <c r="AJ331" s="8">
        <f>(AG331+AH331)/AI331</f>
        <v>4.5977011494252873E-2</v>
      </c>
      <c r="AK331" s="6">
        <f>SUM(E331:W331)</f>
        <v>395</v>
      </c>
    </row>
    <row r="332" spans="1:37" s="7" customFormat="1" ht="39" customHeight="1" x14ac:dyDescent="0.25">
      <c r="A332" s="13">
        <v>46158</v>
      </c>
      <c r="B332" s="21" t="s">
        <v>1</v>
      </c>
      <c r="C332" s="11" t="s">
        <v>16</v>
      </c>
      <c r="D332" s="11">
        <v>3</v>
      </c>
      <c r="E332" s="6">
        <f>10+15+7+5</f>
        <v>37</v>
      </c>
      <c r="F332" s="10">
        <v>25</v>
      </c>
      <c r="G332" s="10">
        <v>10</v>
      </c>
      <c r="H332" s="10"/>
      <c r="I332" s="10"/>
      <c r="J332" s="10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>
        <f>9+5+8+11</f>
        <v>33</v>
      </c>
      <c r="AA332" s="6"/>
      <c r="AB332" s="6">
        <f>SUM(E332:AA332)</f>
        <v>105</v>
      </c>
      <c r="AC332" s="6">
        <v>231</v>
      </c>
      <c r="AD332" s="9">
        <f>SUM(AB332:AC332)</f>
        <v>336</v>
      </c>
      <c r="AE332" s="8">
        <f>AB332/AD332</f>
        <v>0.3125</v>
      </c>
      <c r="AF332" s="6">
        <v>527</v>
      </c>
      <c r="AG332" s="6">
        <v>0</v>
      </c>
      <c r="AH332" s="6">
        <v>5</v>
      </c>
      <c r="AI332" s="9">
        <f>AH332+AG332+AF332</f>
        <v>532</v>
      </c>
      <c r="AJ332" s="8">
        <f>(AG332+AH332)/AI332</f>
        <v>9.3984962406015032E-3</v>
      </c>
      <c r="AK332" s="6">
        <f>SUM(E332:W332)</f>
        <v>72</v>
      </c>
    </row>
    <row r="333" spans="1:37" s="7" customFormat="1" ht="39" customHeight="1" x14ac:dyDescent="0.25">
      <c r="A333" s="13">
        <v>46158</v>
      </c>
      <c r="B333" s="12" t="s">
        <v>1</v>
      </c>
      <c r="C333" s="11" t="s">
        <v>16</v>
      </c>
      <c r="D333" s="21">
        <v>4</v>
      </c>
      <c r="E333" s="10">
        <v>118</v>
      </c>
      <c r="F333" s="10">
        <v>131</v>
      </c>
      <c r="G333" s="10">
        <v>22</v>
      </c>
      <c r="H333" s="10">
        <v>75</v>
      </c>
      <c r="I333" s="10"/>
      <c r="J333" s="10"/>
      <c r="K333" s="6"/>
      <c r="L333" s="6"/>
      <c r="M333" s="6"/>
      <c r="N333" s="6"/>
      <c r="O333" s="6"/>
      <c r="P333" s="6"/>
      <c r="Q333" s="6"/>
      <c r="R333" s="6">
        <v>90</v>
      </c>
      <c r="S333" s="6"/>
      <c r="T333" s="6"/>
      <c r="U333" s="6"/>
      <c r="V333" s="6"/>
      <c r="W333" s="6"/>
      <c r="X333" s="6"/>
      <c r="Y333" s="6"/>
      <c r="Z333" s="6">
        <v>54</v>
      </c>
      <c r="AA333" s="6"/>
      <c r="AB333" s="6">
        <f>SUM(E333:AA333)</f>
        <v>490</v>
      </c>
      <c r="AC333" s="6">
        <v>653</v>
      </c>
      <c r="AD333" s="9">
        <f>SUM(AB333:AC333)</f>
        <v>1143</v>
      </c>
      <c r="AE333" s="8">
        <f>AB333/AD333</f>
        <v>0.42869641294838146</v>
      </c>
      <c r="AF333" s="14">
        <v>475</v>
      </c>
      <c r="AG333" s="6">
        <v>4</v>
      </c>
      <c r="AH333" s="14">
        <v>12</v>
      </c>
      <c r="AI333" s="9">
        <f>AH333+AG333+AF333</f>
        <v>491</v>
      </c>
      <c r="AJ333" s="8">
        <f>(AG333+AH333)/AI333</f>
        <v>3.2586558044806514E-2</v>
      </c>
      <c r="AK333" s="6">
        <f>SUM(E333:W333)</f>
        <v>436</v>
      </c>
    </row>
    <row r="334" spans="1:37" s="7" customFormat="1" ht="39" customHeight="1" x14ac:dyDescent="0.25">
      <c r="A334" s="13">
        <v>46158</v>
      </c>
      <c r="B334" s="21" t="s">
        <v>1</v>
      </c>
      <c r="C334" s="11" t="s">
        <v>16</v>
      </c>
      <c r="D334" s="11">
        <v>5</v>
      </c>
      <c r="E334" s="10">
        <v>51</v>
      </c>
      <c r="F334" s="10">
        <v>247</v>
      </c>
      <c r="G334" s="10">
        <v>17</v>
      </c>
      <c r="H334" s="10">
        <v>193</v>
      </c>
      <c r="I334" s="10"/>
      <c r="J334" s="10"/>
      <c r="K334" s="6"/>
      <c r="L334" s="6"/>
      <c r="M334" s="6"/>
      <c r="N334" s="6"/>
      <c r="O334" s="6"/>
      <c r="P334" s="6"/>
      <c r="Q334" s="6"/>
      <c r="R334" s="6">
        <v>23</v>
      </c>
      <c r="S334" s="6"/>
      <c r="T334" s="6"/>
      <c r="U334" s="6"/>
      <c r="V334" s="6"/>
      <c r="W334" s="6"/>
      <c r="X334" s="6"/>
      <c r="Y334" s="6"/>
      <c r="Z334" s="6">
        <v>15</v>
      </c>
      <c r="AA334" s="6"/>
      <c r="AB334" s="6">
        <f>SUM(E334:AA334)</f>
        <v>546</v>
      </c>
      <c r="AC334" s="6">
        <v>185</v>
      </c>
      <c r="AD334" s="9">
        <f>SUM(AB334:AC334)</f>
        <v>731</v>
      </c>
      <c r="AE334" s="8">
        <f>AB334/AD334</f>
        <v>0.74692202462380297</v>
      </c>
      <c r="AF334" s="6">
        <v>522</v>
      </c>
      <c r="AG334" s="6">
        <v>0</v>
      </c>
      <c r="AH334" s="6">
        <v>11</v>
      </c>
      <c r="AI334" s="9">
        <f>AH334+AG334+AF334</f>
        <v>533</v>
      </c>
      <c r="AJ334" s="8">
        <f>(AG334+AH334)/AI334</f>
        <v>2.0637898686679174E-2</v>
      </c>
      <c r="AK334" s="6">
        <f>SUM(E334:W334)</f>
        <v>531</v>
      </c>
    </row>
    <row r="335" spans="1:37" s="7" customFormat="1" ht="39" customHeight="1" x14ac:dyDescent="0.25">
      <c r="A335" s="13">
        <v>46158</v>
      </c>
      <c r="B335" s="12" t="s">
        <v>1</v>
      </c>
      <c r="C335" s="11" t="s">
        <v>15</v>
      </c>
      <c r="D335" s="11">
        <v>6</v>
      </c>
      <c r="E335" s="10">
        <v>3</v>
      </c>
      <c r="F335" s="10">
        <v>28</v>
      </c>
      <c r="G335" s="10">
        <v>11</v>
      </c>
      <c r="H335" s="10">
        <v>32</v>
      </c>
      <c r="I335" s="10"/>
      <c r="J335" s="10"/>
      <c r="K335" s="6"/>
      <c r="L335" s="6"/>
      <c r="M335" s="6"/>
      <c r="N335" s="6"/>
      <c r="O335" s="6"/>
      <c r="P335" s="6"/>
      <c r="Q335" s="6"/>
      <c r="R335" s="6">
        <v>10</v>
      </c>
      <c r="S335" s="6"/>
      <c r="T335" s="6"/>
      <c r="U335" s="6"/>
      <c r="V335" s="6"/>
      <c r="W335" s="6"/>
      <c r="X335" s="6"/>
      <c r="Y335" s="6"/>
      <c r="Z335" s="6">
        <v>24</v>
      </c>
      <c r="AA335" s="6"/>
      <c r="AB335" s="6">
        <f>SUM(E335:AA335)</f>
        <v>108</v>
      </c>
      <c r="AC335" s="6">
        <v>66</v>
      </c>
      <c r="AD335" s="9">
        <f>SUM(AB335:AC335)</f>
        <v>174</v>
      </c>
      <c r="AE335" s="8">
        <f>AB335/AD335</f>
        <v>0.62068965517241381</v>
      </c>
      <c r="AF335" s="6">
        <v>591</v>
      </c>
      <c r="AG335" s="6">
        <v>0</v>
      </c>
      <c r="AH335" s="6">
        <v>15</v>
      </c>
      <c r="AI335" s="9">
        <f>AH335+AG335+AF335</f>
        <v>606</v>
      </c>
      <c r="AJ335" s="8">
        <f>(AG335+AH335)/AI335</f>
        <v>2.4752475247524754E-2</v>
      </c>
      <c r="AK335" s="6">
        <f>SUM(E335:W335)</f>
        <v>84</v>
      </c>
    </row>
    <row r="336" spans="1:37" s="7" customFormat="1" ht="39" customHeight="1" x14ac:dyDescent="0.25">
      <c r="A336" s="13">
        <v>46158</v>
      </c>
      <c r="B336" s="12" t="s">
        <v>1</v>
      </c>
      <c r="C336" s="11" t="s">
        <v>14</v>
      </c>
      <c r="D336" s="11">
        <v>7</v>
      </c>
      <c r="E336" s="10">
        <v>40</v>
      </c>
      <c r="F336" s="10">
        <v>44</v>
      </c>
      <c r="G336" s="10">
        <v>20</v>
      </c>
      <c r="H336" s="10">
        <v>20</v>
      </c>
      <c r="I336" s="10"/>
      <c r="J336" s="10"/>
      <c r="K336" s="6"/>
      <c r="L336" s="6">
        <v>30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>
        <v>25</v>
      </c>
      <c r="AA336" s="6"/>
      <c r="AB336" s="6">
        <f>SUM(E336:AA336)</f>
        <v>179</v>
      </c>
      <c r="AC336" s="6">
        <v>517</v>
      </c>
      <c r="AD336" s="9">
        <f>SUM(AB336:AC336)</f>
        <v>696</v>
      </c>
      <c r="AE336" s="8">
        <f>AB336/AD336</f>
        <v>0.25718390804597702</v>
      </c>
      <c r="AF336" s="14">
        <v>363</v>
      </c>
      <c r="AG336" s="6">
        <v>2</v>
      </c>
      <c r="AH336" s="14">
        <v>15</v>
      </c>
      <c r="AI336" s="9">
        <f>AH336+AG336+AF336</f>
        <v>380</v>
      </c>
      <c r="AJ336" s="8">
        <f>(AG336+AH336)/AI336</f>
        <v>4.4736842105263158E-2</v>
      </c>
      <c r="AK336" s="6">
        <f>SUM(E336:W336)</f>
        <v>154</v>
      </c>
    </row>
    <row r="337" spans="1:37" s="7" customFormat="1" ht="39" customHeight="1" x14ac:dyDescent="0.25">
      <c r="A337" s="13">
        <v>46158</v>
      </c>
      <c r="B337" s="21" t="s">
        <v>1</v>
      </c>
      <c r="C337" s="11" t="s">
        <v>13</v>
      </c>
      <c r="D337" s="11">
        <v>8</v>
      </c>
      <c r="E337" s="10">
        <v>142</v>
      </c>
      <c r="F337" s="10">
        <v>82</v>
      </c>
      <c r="G337" s="10">
        <v>17</v>
      </c>
      <c r="H337" s="10">
        <v>55</v>
      </c>
      <c r="I337" s="10"/>
      <c r="J337" s="10">
        <v>10</v>
      </c>
      <c r="K337" s="6">
        <v>24</v>
      </c>
      <c r="L337" s="6"/>
      <c r="M337" s="6"/>
      <c r="N337" s="6">
        <v>18</v>
      </c>
      <c r="O337" s="6"/>
      <c r="P337" s="6"/>
      <c r="Q337" s="6"/>
      <c r="R337" s="6">
        <v>40</v>
      </c>
      <c r="S337" s="6"/>
      <c r="T337" s="6"/>
      <c r="U337" s="6"/>
      <c r="V337" s="6"/>
      <c r="W337" s="6"/>
      <c r="X337" s="6"/>
      <c r="Y337" s="6"/>
      <c r="Z337" s="6">
        <v>117</v>
      </c>
      <c r="AA337" s="6"/>
      <c r="AB337" s="6">
        <f>SUM(E337:AA337)</f>
        <v>505</v>
      </c>
      <c r="AC337" s="6">
        <v>575</v>
      </c>
      <c r="AD337" s="9">
        <f>SUM(AB337:AC337)</f>
        <v>1080</v>
      </c>
      <c r="AE337" s="8">
        <f>AB337/AD337</f>
        <v>0.46759259259259262</v>
      </c>
      <c r="AF337" s="6">
        <v>960</v>
      </c>
      <c r="AG337" s="6">
        <v>0</v>
      </c>
      <c r="AH337" s="6">
        <v>5</v>
      </c>
      <c r="AI337" s="9">
        <f>AH337+AG337+AF337</f>
        <v>965</v>
      </c>
      <c r="AJ337" s="8">
        <f>(AG337+AH337)/AI337</f>
        <v>5.1813471502590676E-3</v>
      </c>
      <c r="AK337" s="6">
        <f>SUM(E337:W337)</f>
        <v>388</v>
      </c>
    </row>
    <row r="338" spans="1:37" s="7" customFormat="1" ht="39" customHeight="1" x14ac:dyDescent="0.25">
      <c r="A338" s="13">
        <v>46158</v>
      </c>
      <c r="B338" s="12" t="s">
        <v>1</v>
      </c>
      <c r="C338" s="11" t="s">
        <v>12</v>
      </c>
      <c r="D338" s="11">
        <v>9</v>
      </c>
      <c r="E338" s="10">
        <v>70</v>
      </c>
      <c r="F338" s="10">
        <v>102</v>
      </c>
      <c r="G338" s="10">
        <v>20</v>
      </c>
      <c r="H338" s="10"/>
      <c r="I338" s="10"/>
      <c r="J338" s="10">
        <v>67</v>
      </c>
      <c r="K338" s="6"/>
      <c r="L338" s="6">
        <v>73</v>
      </c>
      <c r="M338" s="6"/>
      <c r="N338" s="6"/>
      <c r="O338" s="6"/>
      <c r="P338" s="6"/>
      <c r="Q338" s="6"/>
      <c r="R338" s="6">
        <v>54</v>
      </c>
      <c r="S338" s="6"/>
      <c r="T338" s="6"/>
      <c r="U338" s="6"/>
      <c r="V338" s="6"/>
      <c r="W338" s="6"/>
      <c r="X338" s="6"/>
      <c r="Y338" s="6"/>
      <c r="Z338" s="6">
        <v>64</v>
      </c>
      <c r="AA338" s="6"/>
      <c r="AB338" s="6">
        <f>SUM(E338:AA338)</f>
        <v>450</v>
      </c>
      <c r="AC338" s="6">
        <v>561</v>
      </c>
      <c r="AD338" s="9">
        <f>SUM(AB338:AC338)</f>
        <v>1011</v>
      </c>
      <c r="AE338" s="8">
        <f>AB338/AD338</f>
        <v>0.44510385756676557</v>
      </c>
      <c r="AF338" s="14">
        <v>640</v>
      </c>
      <c r="AG338" s="6">
        <v>5</v>
      </c>
      <c r="AH338" s="14">
        <v>13</v>
      </c>
      <c r="AI338" s="9">
        <f>AH338+AG338+AF338</f>
        <v>658</v>
      </c>
      <c r="AJ338" s="8">
        <f>(AG338+AH338)/AI338</f>
        <v>2.7355623100303952E-2</v>
      </c>
      <c r="AK338" s="6">
        <f>SUM(E338:W338)</f>
        <v>386</v>
      </c>
    </row>
    <row r="339" spans="1:37" s="7" customFormat="1" ht="39" customHeight="1" x14ac:dyDescent="0.25">
      <c r="A339" s="13">
        <v>46158</v>
      </c>
      <c r="B339" s="12" t="s">
        <v>1</v>
      </c>
      <c r="C339" s="11" t="s">
        <v>0</v>
      </c>
      <c r="D339" s="11">
        <v>10</v>
      </c>
      <c r="E339" s="6">
        <v>49</v>
      </c>
      <c r="F339" s="10">
        <v>41</v>
      </c>
      <c r="G339" s="10">
        <v>11</v>
      </c>
      <c r="H339" s="10">
        <v>5</v>
      </c>
      <c r="I339" s="10"/>
      <c r="J339" s="10"/>
      <c r="K339" s="6"/>
      <c r="L339" s="6">
        <v>8</v>
      </c>
      <c r="M339" s="6"/>
      <c r="N339" s="6"/>
      <c r="O339" s="6"/>
      <c r="P339" s="6"/>
      <c r="Q339" s="6"/>
      <c r="R339" s="6">
        <v>7</v>
      </c>
      <c r="S339" s="6"/>
      <c r="T339" s="6"/>
      <c r="U339" s="6"/>
      <c r="V339" s="6"/>
      <c r="W339" s="6"/>
      <c r="X339" s="6"/>
      <c r="Y339" s="6"/>
      <c r="Z339" s="6">
        <v>14</v>
      </c>
      <c r="AA339" s="6"/>
      <c r="AB339" s="6">
        <f>SUM(E339:AA339)</f>
        <v>135</v>
      </c>
      <c r="AC339" s="6">
        <v>102</v>
      </c>
      <c r="AD339" s="9">
        <f>SUM(AB339:AC339)</f>
        <v>237</v>
      </c>
      <c r="AE339" s="8">
        <f>AB339/AD339</f>
        <v>0.569620253164557</v>
      </c>
      <c r="AF339" s="6">
        <v>20</v>
      </c>
      <c r="AG339" s="6">
        <v>4</v>
      </c>
      <c r="AH339" s="6">
        <v>5</v>
      </c>
      <c r="AI339" s="9">
        <f>AH339+AG339+AF339</f>
        <v>29</v>
      </c>
      <c r="AJ339" s="8">
        <f>(AG339+AH339)/AI339</f>
        <v>0.31034482758620691</v>
      </c>
      <c r="AK339" s="6">
        <f>SUM(E339:W339)</f>
        <v>121</v>
      </c>
    </row>
    <row r="340" spans="1:37" s="7" customFormat="1" ht="39" customHeight="1" x14ac:dyDescent="0.25">
      <c r="A340" s="13">
        <v>46158</v>
      </c>
      <c r="B340" s="21" t="s">
        <v>1</v>
      </c>
      <c r="C340" s="11" t="s">
        <v>10</v>
      </c>
      <c r="D340" s="11">
        <v>11</v>
      </c>
      <c r="E340" s="10">
        <v>37</v>
      </c>
      <c r="F340" s="10">
        <v>45</v>
      </c>
      <c r="G340" s="10">
        <v>7</v>
      </c>
      <c r="H340" s="10">
        <v>18</v>
      </c>
      <c r="I340" s="10"/>
      <c r="J340" s="10"/>
      <c r="K340" s="6"/>
      <c r="L340" s="6"/>
      <c r="M340" s="6"/>
      <c r="N340" s="6"/>
      <c r="O340" s="6"/>
      <c r="P340" s="6"/>
      <c r="Q340" s="6"/>
      <c r="R340" s="6">
        <v>24</v>
      </c>
      <c r="S340" s="6"/>
      <c r="T340" s="6"/>
      <c r="U340" s="6"/>
      <c r="V340" s="6"/>
      <c r="W340" s="6"/>
      <c r="X340" s="6"/>
      <c r="Y340" s="6"/>
      <c r="Z340" s="6">
        <v>39</v>
      </c>
      <c r="AA340" s="6"/>
      <c r="AB340" s="6">
        <f>SUM(E340:AA340)</f>
        <v>170</v>
      </c>
      <c r="AC340" s="6">
        <v>455</v>
      </c>
      <c r="AD340" s="9">
        <f>SUM(AB340:AC340)</f>
        <v>625</v>
      </c>
      <c r="AE340" s="8">
        <f>AB340/AD340</f>
        <v>0.27200000000000002</v>
      </c>
      <c r="AF340" s="6">
        <v>471</v>
      </c>
      <c r="AG340" s="6">
        <v>0</v>
      </c>
      <c r="AH340" s="6">
        <v>10</v>
      </c>
      <c r="AI340" s="9">
        <f>AH340+AG340+AF340</f>
        <v>481</v>
      </c>
      <c r="AJ340" s="8">
        <f>(AG340+AH340)/AI340</f>
        <v>2.0790020790020791E-2</v>
      </c>
      <c r="AK340" s="6">
        <f>SUM(E340:W340)</f>
        <v>131</v>
      </c>
    </row>
    <row r="341" spans="1:37" s="7" customFormat="1" ht="39" customHeight="1" x14ac:dyDescent="0.25">
      <c r="A341" s="13">
        <v>46158</v>
      </c>
      <c r="B341" s="21" t="s">
        <v>1</v>
      </c>
      <c r="C341" s="11" t="s">
        <v>18</v>
      </c>
      <c r="D341" s="11">
        <v>13</v>
      </c>
      <c r="E341" s="10">
        <v>71</v>
      </c>
      <c r="F341" s="10">
        <v>78</v>
      </c>
      <c r="G341" s="10">
        <v>59</v>
      </c>
      <c r="H341" s="10">
        <v>42</v>
      </c>
      <c r="I341" s="10"/>
      <c r="J341" s="10">
        <v>18</v>
      </c>
      <c r="K341" s="6"/>
      <c r="L341" s="6"/>
      <c r="M341" s="6"/>
      <c r="N341" s="6"/>
      <c r="O341" s="6"/>
      <c r="P341" s="6"/>
      <c r="Q341" s="6"/>
      <c r="R341" s="6">
        <v>44</v>
      </c>
      <c r="S341" s="6"/>
      <c r="T341" s="6"/>
      <c r="U341" s="6"/>
      <c r="V341" s="6"/>
      <c r="W341" s="6"/>
      <c r="X341" s="6"/>
      <c r="Y341" s="6"/>
      <c r="Z341" s="6">
        <v>37</v>
      </c>
      <c r="AA341" s="6"/>
      <c r="AB341" s="6">
        <f>SUM(E341:AA341)</f>
        <v>349</v>
      </c>
      <c r="AC341" s="6">
        <v>164</v>
      </c>
      <c r="AD341" s="9">
        <f>SUM(AB341:AC341)</f>
        <v>513</v>
      </c>
      <c r="AE341" s="8">
        <f>AB341/AD341</f>
        <v>0.68031189083820665</v>
      </c>
      <c r="AF341" s="6">
        <v>538</v>
      </c>
      <c r="AG341" s="6">
        <v>15</v>
      </c>
      <c r="AH341" s="6">
        <v>0</v>
      </c>
      <c r="AI341" s="9">
        <f>AH341+AG341+AF341</f>
        <v>553</v>
      </c>
      <c r="AJ341" s="8">
        <f>(AG341+AH341)/AI341</f>
        <v>2.7124773960216998E-2</v>
      </c>
      <c r="AK341" s="6">
        <f>SUM(E341:W341)</f>
        <v>312</v>
      </c>
    </row>
    <row r="342" spans="1:37" s="7" customFormat="1" ht="39" customHeight="1" x14ac:dyDescent="0.25">
      <c r="A342" s="13">
        <v>46158</v>
      </c>
      <c r="B342" s="12" t="s">
        <v>1</v>
      </c>
      <c r="C342" s="11" t="s">
        <v>8</v>
      </c>
      <c r="D342" s="11">
        <v>14</v>
      </c>
      <c r="E342" s="10">
        <v>20</v>
      </c>
      <c r="F342" s="10">
        <v>50</v>
      </c>
      <c r="G342" s="10">
        <v>80</v>
      </c>
      <c r="H342" s="10"/>
      <c r="I342" s="10"/>
      <c r="J342" s="10"/>
      <c r="K342" s="6"/>
      <c r="L342" s="6">
        <v>40</v>
      </c>
      <c r="M342" s="6"/>
      <c r="N342" s="6">
        <v>10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>
        <v>24</v>
      </c>
      <c r="AA342" s="6"/>
      <c r="AB342" s="6">
        <f>SUM(E342:AA342)</f>
        <v>224</v>
      </c>
      <c r="AC342" s="6">
        <v>202</v>
      </c>
      <c r="AD342" s="9">
        <f>SUM(AB342:AC342)</f>
        <v>426</v>
      </c>
      <c r="AE342" s="8">
        <f>AB342/AD342</f>
        <v>0.5258215962441315</v>
      </c>
      <c r="AF342" s="14">
        <v>402</v>
      </c>
      <c r="AG342" s="6">
        <v>8</v>
      </c>
      <c r="AH342" s="14">
        <v>16</v>
      </c>
      <c r="AI342" s="9">
        <f>AH342+AG342+AF342</f>
        <v>426</v>
      </c>
      <c r="AJ342" s="8">
        <f>(AG342+AH342)/AI342</f>
        <v>5.6338028169014086E-2</v>
      </c>
      <c r="AK342" s="6">
        <f>SUM(E342:W342)</f>
        <v>200</v>
      </c>
    </row>
    <row r="343" spans="1:37" s="7" customFormat="1" ht="39" customHeight="1" x14ac:dyDescent="0.25">
      <c r="A343" s="13">
        <v>46158</v>
      </c>
      <c r="B343" s="21" t="s">
        <v>1</v>
      </c>
      <c r="C343" s="11" t="s">
        <v>7</v>
      </c>
      <c r="D343" s="11">
        <v>15</v>
      </c>
      <c r="E343" s="10">
        <v>7</v>
      </c>
      <c r="F343" s="10">
        <v>3</v>
      </c>
      <c r="G343" s="10">
        <v>31</v>
      </c>
      <c r="H343" s="10">
        <v>5</v>
      </c>
      <c r="I343" s="10">
        <v>9</v>
      </c>
      <c r="J343" s="10">
        <v>5</v>
      </c>
      <c r="K343" s="6"/>
      <c r="L343" s="6">
        <v>2</v>
      </c>
      <c r="M343" s="6"/>
      <c r="N343" s="6">
        <v>11</v>
      </c>
      <c r="O343" s="6"/>
      <c r="P343" s="6"/>
      <c r="Q343" s="6"/>
      <c r="R343" s="6">
        <v>6</v>
      </c>
      <c r="S343" s="6"/>
      <c r="T343" s="6"/>
      <c r="U343" s="6"/>
      <c r="V343" s="6">
        <v>5</v>
      </c>
      <c r="W343" s="6"/>
      <c r="X343" s="6"/>
      <c r="Y343" s="6"/>
      <c r="Z343" s="6">
        <v>17</v>
      </c>
      <c r="AA343" s="6"/>
      <c r="AB343" s="6">
        <f>SUM(E343:AA343)</f>
        <v>101</v>
      </c>
      <c r="AC343" s="6">
        <v>89</v>
      </c>
      <c r="AD343" s="9">
        <f>SUM(AB343:AC343)</f>
        <v>190</v>
      </c>
      <c r="AE343" s="8">
        <f>AB343/AD343</f>
        <v>0.53157894736842104</v>
      </c>
      <c r="AF343" s="14">
        <v>190</v>
      </c>
      <c r="AG343" s="6">
        <v>0</v>
      </c>
      <c r="AH343" s="14">
        <v>5</v>
      </c>
      <c r="AI343" s="9">
        <f>AH343+AG343+AF343</f>
        <v>195</v>
      </c>
      <c r="AJ343" s="8">
        <f>(AG343+AH343)/AI343</f>
        <v>2.564102564102564E-2</v>
      </c>
      <c r="AK343" s="6">
        <f>SUM(E343:W343)</f>
        <v>84</v>
      </c>
    </row>
    <row r="344" spans="1:37" s="7" customFormat="1" ht="39" customHeight="1" x14ac:dyDescent="0.25">
      <c r="A344" s="13">
        <v>46158</v>
      </c>
      <c r="B344" s="21" t="s">
        <v>1</v>
      </c>
      <c r="C344" s="11" t="s">
        <v>10</v>
      </c>
      <c r="D344" s="11">
        <v>16</v>
      </c>
      <c r="E344" s="10">
        <v>40</v>
      </c>
      <c r="F344" s="10">
        <v>92</v>
      </c>
      <c r="G344" s="10">
        <v>65</v>
      </c>
      <c r="H344" s="10">
        <v>15</v>
      </c>
      <c r="I344" s="10"/>
      <c r="J344" s="10">
        <v>15</v>
      </c>
      <c r="K344" s="6"/>
      <c r="L344" s="6"/>
      <c r="M344" s="6"/>
      <c r="N344" s="6"/>
      <c r="O344" s="6"/>
      <c r="P344" s="6"/>
      <c r="Q344" s="6"/>
      <c r="R344" s="6">
        <v>29</v>
      </c>
      <c r="S344" s="6"/>
      <c r="T344" s="6"/>
      <c r="U344" s="6"/>
      <c r="V344" s="6"/>
      <c r="W344" s="6"/>
      <c r="X344" s="6"/>
      <c r="Y344" s="6"/>
      <c r="Z344" s="6">
        <v>21</v>
      </c>
      <c r="AA344" s="6"/>
      <c r="AB344" s="6">
        <f>SUM(E344:AA344)</f>
        <v>277</v>
      </c>
      <c r="AC344" s="6">
        <v>492</v>
      </c>
      <c r="AD344" s="9">
        <f>SUM(AB344:AC344)</f>
        <v>769</v>
      </c>
      <c r="AE344" s="8">
        <f>AB344/AD344</f>
        <v>0.36020806241872561</v>
      </c>
      <c r="AF344" s="6">
        <v>186</v>
      </c>
      <c r="AG344" s="6">
        <v>0</v>
      </c>
      <c r="AH344" s="6">
        <v>10</v>
      </c>
      <c r="AI344" s="9">
        <f>AH344+AG344+AF344</f>
        <v>196</v>
      </c>
      <c r="AJ344" s="8">
        <f>(AG344+AH344)/AI344</f>
        <v>5.1020408163265307E-2</v>
      </c>
      <c r="AK344" s="6">
        <f>SUM(E344:W344)</f>
        <v>256</v>
      </c>
    </row>
    <row r="345" spans="1:37" s="7" customFormat="1" ht="39" customHeight="1" x14ac:dyDescent="0.25">
      <c r="A345" s="13">
        <v>46158</v>
      </c>
      <c r="B345" s="21" t="s">
        <v>1</v>
      </c>
      <c r="C345" s="11" t="s">
        <v>10</v>
      </c>
      <c r="D345" s="21">
        <v>17</v>
      </c>
      <c r="E345" s="21">
        <v>19</v>
      </c>
      <c r="F345" s="21">
        <v>10</v>
      </c>
      <c r="G345" s="21"/>
      <c r="H345" s="21">
        <v>15</v>
      </c>
      <c r="I345" s="21"/>
      <c r="J345" s="21"/>
      <c r="K345" s="21"/>
      <c r="L345" s="6"/>
      <c r="M345" s="21"/>
      <c r="N345" s="21"/>
      <c r="O345" s="21"/>
      <c r="P345" s="21"/>
      <c r="Q345" s="21"/>
      <c r="R345" s="6">
        <v>6</v>
      </c>
      <c r="S345" s="6"/>
      <c r="T345" s="6"/>
      <c r="U345" s="21"/>
      <c r="V345" s="21"/>
      <c r="W345" s="6"/>
      <c r="X345" s="6"/>
      <c r="Y345" s="6"/>
      <c r="Z345" s="6"/>
      <c r="AA345" s="6"/>
      <c r="AB345" s="6">
        <f>SUM(E345:AA345)</f>
        <v>50</v>
      </c>
      <c r="AC345" s="22">
        <v>23</v>
      </c>
      <c r="AD345" s="9">
        <f>SUM(AB345:AC345)</f>
        <v>73</v>
      </c>
      <c r="AE345" s="8">
        <f>AB345/AD345</f>
        <v>0.68493150684931503</v>
      </c>
      <c r="AF345" s="6">
        <v>229</v>
      </c>
      <c r="AG345" s="6">
        <v>0</v>
      </c>
      <c r="AH345" s="6">
        <v>7</v>
      </c>
      <c r="AI345" s="9">
        <f>AH345+AG345+AF345</f>
        <v>236</v>
      </c>
      <c r="AJ345" s="8">
        <f>(AG345+AH345)/AI345</f>
        <v>2.9661016949152543E-2</v>
      </c>
      <c r="AK345" s="6">
        <f>SUM(E345:W345)</f>
        <v>50</v>
      </c>
    </row>
    <row r="346" spans="1:37" s="7" customFormat="1" ht="39" customHeight="1" x14ac:dyDescent="0.25">
      <c r="A346" s="13">
        <v>46158</v>
      </c>
      <c r="B346" s="21" t="s">
        <v>1</v>
      </c>
      <c r="C346" s="11" t="s">
        <v>6</v>
      </c>
      <c r="D346" s="11">
        <v>18</v>
      </c>
      <c r="E346" s="10">
        <v>65</v>
      </c>
      <c r="F346" s="10"/>
      <c r="G346" s="10">
        <v>35</v>
      </c>
      <c r="H346" s="10"/>
      <c r="I346" s="10"/>
      <c r="J346" s="10">
        <v>5</v>
      </c>
      <c r="K346" s="6"/>
      <c r="L346" s="6"/>
      <c r="M346" s="6"/>
      <c r="N346" s="6">
        <v>25</v>
      </c>
      <c r="O346" s="6"/>
      <c r="P346" s="6"/>
      <c r="Q346" s="6"/>
      <c r="R346" s="6">
        <v>10</v>
      </c>
      <c r="S346" s="6"/>
      <c r="T346" s="6"/>
      <c r="U346" s="6"/>
      <c r="V346" s="6"/>
      <c r="W346" s="6"/>
      <c r="X346" s="6"/>
      <c r="Y346" s="6"/>
      <c r="Z346" s="6">
        <v>30</v>
      </c>
      <c r="AA346" s="6"/>
      <c r="AB346" s="6">
        <f>SUM(E346:AA346)</f>
        <v>170</v>
      </c>
      <c r="AC346" s="6">
        <v>409</v>
      </c>
      <c r="AD346" s="9">
        <f>SUM(AB346:AC346)</f>
        <v>579</v>
      </c>
      <c r="AE346" s="8">
        <f>AB346/AD346</f>
        <v>0.29360967184801384</v>
      </c>
      <c r="AF346" s="6">
        <v>240</v>
      </c>
      <c r="AG346" s="6">
        <v>0</v>
      </c>
      <c r="AH346" s="6">
        <v>12</v>
      </c>
      <c r="AI346" s="9">
        <f>AH346+AG346+AF346</f>
        <v>252</v>
      </c>
      <c r="AJ346" s="8">
        <f>(AG346+AH346)/AI346</f>
        <v>4.7619047619047616E-2</v>
      </c>
      <c r="AK346" s="6">
        <f>SUM(E346:W346)</f>
        <v>140</v>
      </c>
    </row>
    <row r="347" spans="1:37" s="7" customFormat="1" ht="39" customHeight="1" x14ac:dyDescent="0.25">
      <c r="A347" s="13">
        <v>46158</v>
      </c>
      <c r="B347" s="21" t="s">
        <v>1</v>
      </c>
      <c r="C347" s="11" t="s">
        <v>2</v>
      </c>
      <c r="D347" s="11">
        <v>19</v>
      </c>
      <c r="E347" s="10">
        <v>117</v>
      </c>
      <c r="F347" s="10">
        <v>48</v>
      </c>
      <c r="G347" s="10">
        <v>49</v>
      </c>
      <c r="H347" s="10">
        <v>60</v>
      </c>
      <c r="I347" s="10">
        <v>72</v>
      </c>
      <c r="J347" s="10"/>
      <c r="K347" s="6"/>
      <c r="L347" s="6"/>
      <c r="M347" s="6"/>
      <c r="N347" s="6"/>
      <c r="O347" s="6"/>
      <c r="P347" s="6"/>
      <c r="Q347" s="6"/>
      <c r="R347" s="6">
        <v>178</v>
      </c>
      <c r="S347" s="6"/>
      <c r="T347" s="6"/>
      <c r="U347" s="6"/>
      <c r="V347" s="6"/>
      <c r="W347" s="6"/>
      <c r="X347" s="6"/>
      <c r="Y347" s="6"/>
      <c r="Z347" s="6">
        <v>133</v>
      </c>
      <c r="AA347" s="6"/>
      <c r="AB347" s="6">
        <f>SUM(E347:AA347)</f>
        <v>657</v>
      </c>
      <c r="AC347" s="6">
        <v>291</v>
      </c>
      <c r="AD347" s="9">
        <f>SUM(AB347:AC347)</f>
        <v>948</v>
      </c>
      <c r="AE347" s="8">
        <f>AB347/AD347</f>
        <v>0.69303797468354433</v>
      </c>
      <c r="AF347" s="14">
        <v>310</v>
      </c>
      <c r="AG347" s="6">
        <v>5</v>
      </c>
      <c r="AH347" s="14">
        <v>10</v>
      </c>
      <c r="AI347" s="9">
        <f>AH347+AG347+AF347</f>
        <v>325</v>
      </c>
      <c r="AJ347" s="8">
        <f>(AG347+AH347)/AI347</f>
        <v>4.6153846153846156E-2</v>
      </c>
      <c r="AK347" s="6">
        <f>SUM(E347:W347)</f>
        <v>524</v>
      </c>
    </row>
    <row r="348" spans="1:37" s="7" customFormat="1" ht="39" customHeight="1" x14ac:dyDescent="0.25">
      <c r="A348" s="13">
        <v>46158</v>
      </c>
      <c r="B348" s="21" t="s">
        <v>1</v>
      </c>
      <c r="C348" s="11" t="s">
        <v>9</v>
      </c>
      <c r="D348" s="11">
        <v>20</v>
      </c>
      <c r="E348" s="10">
        <v>19</v>
      </c>
      <c r="F348" s="10">
        <v>37</v>
      </c>
      <c r="G348" s="10">
        <v>23</v>
      </c>
      <c r="H348" s="10">
        <v>51</v>
      </c>
      <c r="I348" s="10">
        <v>39</v>
      </c>
      <c r="J348" s="10"/>
      <c r="K348" s="6"/>
      <c r="L348" s="6"/>
      <c r="M348" s="6"/>
      <c r="N348" s="6">
        <v>18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>
        <v>28</v>
      </c>
      <c r="AA348" s="6"/>
      <c r="AB348" s="6">
        <f>SUM(E348:AA348)</f>
        <v>215</v>
      </c>
      <c r="AC348" s="6">
        <v>179</v>
      </c>
      <c r="AD348" s="9">
        <f>SUM(AB348:AC348)</f>
        <v>394</v>
      </c>
      <c r="AE348" s="8">
        <f>AB348/AD348</f>
        <v>0.54568527918781728</v>
      </c>
      <c r="AF348" s="6">
        <v>96</v>
      </c>
      <c r="AG348" s="6">
        <v>0</v>
      </c>
      <c r="AH348" s="6">
        <v>10</v>
      </c>
      <c r="AI348" s="9">
        <f>AH348+AG348+AF348</f>
        <v>106</v>
      </c>
      <c r="AJ348" s="8">
        <f>(AG348+AH348)/AI348</f>
        <v>9.4339622641509441E-2</v>
      </c>
      <c r="AK348" s="6">
        <f>SUM(E348:W348)</f>
        <v>187</v>
      </c>
    </row>
    <row r="349" spans="1:37" s="7" customFormat="1" ht="39" customHeight="1" x14ac:dyDescent="0.25">
      <c r="A349" s="13">
        <v>46158</v>
      </c>
      <c r="B349" s="21" t="s">
        <v>5</v>
      </c>
      <c r="C349" s="11" t="s">
        <v>4</v>
      </c>
      <c r="D349" s="11">
        <v>21</v>
      </c>
      <c r="E349" s="10">
        <v>33</v>
      </c>
      <c r="F349" s="10">
        <v>25</v>
      </c>
      <c r="G349" s="10">
        <v>10</v>
      </c>
      <c r="H349" s="10">
        <v>15</v>
      </c>
      <c r="I349" s="10"/>
      <c r="J349" s="10"/>
      <c r="K349" s="6">
        <v>20</v>
      </c>
      <c r="L349" s="6"/>
      <c r="M349" s="6">
        <v>25</v>
      </c>
      <c r="N349" s="6"/>
      <c r="O349" s="6"/>
      <c r="P349" s="6"/>
      <c r="Q349" s="6"/>
      <c r="R349" s="6">
        <v>68</v>
      </c>
      <c r="S349" s="6"/>
      <c r="T349" s="6"/>
      <c r="U349" s="6"/>
      <c r="V349" s="6"/>
      <c r="W349" s="6"/>
      <c r="X349" s="6"/>
      <c r="Y349" s="6"/>
      <c r="Z349" s="6">
        <f>60+30</f>
        <v>90</v>
      </c>
      <c r="AA349" s="6"/>
      <c r="AB349" s="6">
        <f>SUM(E349:AA349)</f>
        <v>286</v>
      </c>
      <c r="AC349" s="6">
        <v>203</v>
      </c>
      <c r="AD349" s="9">
        <f>SUM(AB349:AC349)</f>
        <v>489</v>
      </c>
      <c r="AE349" s="8">
        <f>AB349/AD349</f>
        <v>0.58486707566462171</v>
      </c>
      <c r="AF349" s="6">
        <v>520</v>
      </c>
      <c r="AG349" s="6">
        <v>0</v>
      </c>
      <c r="AH349" s="6">
        <v>10</v>
      </c>
      <c r="AI349" s="9">
        <f>AH349+AG349+AF349</f>
        <v>530</v>
      </c>
      <c r="AJ349" s="8">
        <f>(AG349+AH349)/AI349</f>
        <v>1.8867924528301886E-2</v>
      </c>
      <c r="AK349" s="6">
        <f>SUM(E349:W349)</f>
        <v>196</v>
      </c>
    </row>
    <row r="350" spans="1:37" s="7" customFormat="1" ht="39" customHeight="1" x14ac:dyDescent="0.25">
      <c r="A350" s="13">
        <v>46158</v>
      </c>
      <c r="B350" s="21" t="s">
        <v>1</v>
      </c>
      <c r="C350" s="11" t="s">
        <v>8</v>
      </c>
      <c r="D350" s="11">
        <v>22</v>
      </c>
      <c r="E350" s="10">
        <v>25</v>
      </c>
      <c r="F350" s="10">
        <v>45</v>
      </c>
      <c r="G350" s="10">
        <v>10</v>
      </c>
      <c r="H350" s="10">
        <v>17</v>
      </c>
      <c r="I350" s="10">
        <v>7</v>
      </c>
      <c r="J350" s="10">
        <v>8</v>
      </c>
      <c r="K350" s="6"/>
      <c r="L350" s="6">
        <v>5</v>
      </c>
      <c r="M350" s="6"/>
      <c r="N350" s="6"/>
      <c r="O350" s="6">
        <v>20</v>
      </c>
      <c r="P350" s="6"/>
      <c r="Q350" s="6"/>
      <c r="R350" s="6">
        <v>30</v>
      </c>
      <c r="S350" s="6"/>
      <c r="T350" s="6"/>
      <c r="U350" s="6"/>
      <c r="V350" s="6">
        <v>10</v>
      </c>
      <c r="W350" s="6"/>
      <c r="X350" s="6">
        <v>10</v>
      </c>
      <c r="Y350" s="6"/>
      <c r="Z350" s="6">
        <v>5</v>
      </c>
      <c r="AA350" s="6"/>
      <c r="AB350" s="6">
        <f>SUM(E350:AA350)</f>
        <v>192</v>
      </c>
      <c r="AC350" s="6">
        <v>115</v>
      </c>
      <c r="AD350" s="9">
        <f>SUM(AB350:AC350)</f>
        <v>307</v>
      </c>
      <c r="AE350" s="8">
        <f>AB350/AD350</f>
        <v>0.62540716612377845</v>
      </c>
      <c r="AF350" s="6">
        <v>685</v>
      </c>
      <c r="AG350" s="6">
        <v>0</v>
      </c>
      <c r="AH350" s="14">
        <v>16</v>
      </c>
      <c r="AI350" s="9">
        <f>AH350+AG350+AF350</f>
        <v>701</v>
      </c>
      <c r="AJ350" s="8">
        <f>(AG350+AH350)/AI350</f>
        <v>2.2824536376604851E-2</v>
      </c>
      <c r="AK350" s="6">
        <f>SUM(E350:W350)</f>
        <v>177</v>
      </c>
    </row>
    <row r="351" spans="1:37" s="7" customFormat="1" ht="39" customHeight="1" x14ac:dyDescent="0.25">
      <c r="A351" s="13">
        <v>46158</v>
      </c>
      <c r="B351" s="21" t="s">
        <v>1</v>
      </c>
      <c r="C351" s="11" t="s">
        <v>7</v>
      </c>
      <c r="D351" s="11">
        <v>23</v>
      </c>
      <c r="E351" s="10">
        <v>23</v>
      </c>
      <c r="F351" s="10">
        <v>24</v>
      </c>
      <c r="G351" s="10">
        <v>38</v>
      </c>
      <c r="H351" s="10"/>
      <c r="I351" s="10"/>
      <c r="J351" s="10">
        <v>2</v>
      </c>
      <c r="K351" s="6"/>
      <c r="L351" s="6"/>
      <c r="M351" s="6"/>
      <c r="N351" s="6"/>
      <c r="O351" s="6"/>
      <c r="P351" s="6"/>
      <c r="Q351" s="6"/>
      <c r="R351" s="6">
        <v>2</v>
      </c>
      <c r="S351" s="6"/>
      <c r="T351" s="6"/>
      <c r="U351" s="6"/>
      <c r="V351" s="6"/>
      <c r="W351" s="6"/>
      <c r="X351" s="6"/>
      <c r="Y351" s="6"/>
      <c r="Z351" s="6">
        <v>5</v>
      </c>
      <c r="AA351" s="6"/>
      <c r="AB351" s="6">
        <f>SUM(E351:AA351)</f>
        <v>94</v>
      </c>
      <c r="AC351" s="6">
        <v>38</v>
      </c>
      <c r="AD351" s="9">
        <f>SUM(AB351:AC351)</f>
        <v>132</v>
      </c>
      <c r="AE351" s="8">
        <f>AB351/AD351</f>
        <v>0.71212121212121215</v>
      </c>
      <c r="AF351" s="6">
        <v>218</v>
      </c>
      <c r="AG351" s="6">
        <v>0</v>
      </c>
      <c r="AH351" s="14">
        <v>12</v>
      </c>
      <c r="AI351" s="9">
        <f>AH351+AG351+AF351</f>
        <v>230</v>
      </c>
      <c r="AJ351" s="8">
        <f>(AG351+AH351)/AI351</f>
        <v>5.2173913043478258E-2</v>
      </c>
      <c r="AK351" s="6">
        <f>SUM(E351:W351)</f>
        <v>89</v>
      </c>
    </row>
    <row r="352" spans="1:37" s="7" customFormat="1" ht="39" customHeight="1" x14ac:dyDescent="0.25">
      <c r="A352" s="13">
        <v>46158</v>
      </c>
      <c r="B352" s="21" t="s">
        <v>1</v>
      </c>
      <c r="C352" s="11" t="s">
        <v>6</v>
      </c>
      <c r="D352" s="11">
        <v>24</v>
      </c>
      <c r="E352" s="10">
        <v>46</v>
      </c>
      <c r="F352" s="10">
        <v>14</v>
      </c>
      <c r="G352" s="10">
        <v>15</v>
      </c>
      <c r="H352" s="10">
        <v>12</v>
      </c>
      <c r="I352" s="10"/>
      <c r="J352" s="10">
        <v>7</v>
      </c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>
        <v>25</v>
      </c>
      <c r="AA352" s="6"/>
      <c r="AB352" s="6">
        <f>SUM(E352:AA352)</f>
        <v>119</v>
      </c>
      <c r="AC352" s="6">
        <v>445</v>
      </c>
      <c r="AD352" s="9">
        <f>SUM(AB352:AC352)</f>
        <v>564</v>
      </c>
      <c r="AE352" s="8">
        <f>AB352/AD352</f>
        <v>0.21099290780141844</v>
      </c>
      <c r="AF352" s="14">
        <v>600</v>
      </c>
      <c r="AG352" s="6">
        <v>11</v>
      </c>
      <c r="AH352" s="14">
        <v>5</v>
      </c>
      <c r="AI352" s="9">
        <f>AH352+AG352+AF352</f>
        <v>616</v>
      </c>
      <c r="AJ352" s="8">
        <f>(AG352+AH352)/AI352</f>
        <v>2.5974025974025976E-2</v>
      </c>
      <c r="AK352" s="6">
        <f>SUM(E352:W352)</f>
        <v>94</v>
      </c>
    </row>
    <row r="353" spans="1:37" s="7" customFormat="1" ht="39" customHeight="1" x14ac:dyDescent="0.25">
      <c r="A353" s="13">
        <v>46158</v>
      </c>
      <c r="B353" s="21" t="s">
        <v>5</v>
      </c>
      <c r="C353" s="11" t="s">
        <v>4</v>
      </c>
      <c r="D353" s="11">
        <v>25</v>
      </c>
      <c r="E353" s="10">
        <v>80</v>
      </c>
      <c r="F353" s="10">
        <v>175</v>
      </c>
      <c r="G353" s="10">
        <v>220</v>
      </c>
      <c r="H353" s="10">
        <v>70</v>
      </c>
      <c r="I353" s="10"/>
      <c r="J353" s="10">
        <v>160</v>
      </c>
      <c r="K353" s="6">
        <v>30</v>
      </c>
      <c r="L353" s="6"/>
      <c r="M353" s="6"/>
      <c r="N353" s="6"/>
      <c r="O353" s="6"/>
      <c r="P353" s="6"/>
      <c r="Q353" s="6"/>
      <c r="R353" s="6">
        <v>100</v>
      </c>
      <c r="S353" s="6"/>
      <c r="T353" s="6"/>
      <c r="U353" s="6"/>
      <c r="V353" s="6"/>
      <c r="W353" s="6"/>
      <c r="X353" s="6"/>
      <c r="Y353" s="6"/>
      <c r="Z353" s="6">
        <v>251</v>
      </c>
      <c r="AA353" s="6"/>
      <c r="AB353" s="6">
        <f>SUM(E353:AA353)</f>
        <v>1086</v>
      </c>
      <c r="AC353" s="6">
        <v>138</v>
      </c>
      <c r="AD353" s="9">
        <f>SUM(AB353:AC353)</f>
        <v>1224</v>
      </c>
      <c r="AE353" s="8">
        <f>AB353/AD353</f>
        <v>0.88725490196078427</v>
      </c>
      <c r="AF353" s="14">
        <v>275</v>
      </c>
      <c r="AG353" s="6">
        <v>16</v>
      </c>
      <c r="AH353" s="14">
        <v>2</v>
      </c>
      <c r="AI353" s="9">
        <f>AH353+AG353+AF353</f>
        <v>293</v>
      </c>
      <c r="AJ353" s="8">
        <f>(AG353+AH353)/AI353</f>
        <v>6.1433447098976107E-2</v>
      </c>
      <c r="AK353" s="6">
        <f>SUM(E353:W353)</f>
        <v>835</v>
      </c>
    </row>
    <row r="354" spans="1:37" s="7" customFormat="1" ht="39" customHeight="1" x14ac:dyDescent="0.25">
      <c r="A354" s="13">
        <v>46158</v>
      </c>
      <c r="B354" s="21" t="s">
        <v>1</v>
      </c>
      <c r="C354" s="11" t="s">
        <v>3</v>
      </c>
      <c r="D354" s="11">
        <v>26</v>
      </c>
      <c r="E354" s="10">
        <v>30</v>
      </c>
      <c r="F354" s="10">
        <v>46</v>
      </c>
      <c r="G354" s="10">
        <v>5</v>
      </c>
      <c r="H354" s="10"/>
      <c r="I354" s="10"/>
      <c r="J354" s="10">
        <v>49</v>
      </c>
      <c r="K354" s="6"/>
      <c r="L354" s="6"/>
      <c r="M354" s="6"/>
      <c r="N354" s="6"/>
      <c r="O354" s="6"/>
      <c r="P354" s="6"/>
      <c r="Q354" s="6"/>
      <c r="R354" s="6">
        <v>5</v>
      </c>
      <c r="S354" s="6"/>
      <c r="T354" s="6"/>
      <c r="U354" s="6"/>
      <c r="V354" s="6"/>
      <c r="W354" s="6"/>
      <c r="X354" s="6"/>
      <c r="Y354" s="6"/>
      <c r="Z354" s="6"/>
      <c r="AA354" s="6"/>
      <c r="AB354" s="6">
        <f>SUM(E354:AA354)</f>
        <v>135</v>
      </c>
      <c r="AC354" s="6">
        <v>2</v>
      </c>
      <c r="AD354" s="9">
        <f>SUM(AB354:AC354)</f>
        <v>137</v>
      </c>
      <c r="AE354" s="8">
        <f>AB354/AD354</f>
        <v>0.98540145985401462</v>
      </c>
      <c r="AF354" s="6">
        <v>195</v>
      </c>
      <c r="AG354" s="6">
        <v>12</v>
      </c>
      <c r="AH354" s="6">
        <v>5</v>
      </c>
      <c r="AI354" s="9">
        <f>AH354+AG354+AF354</f>
        <v>212</v>
      </c>
      <c r="AJ354" s="8">
        <f>(AG354+AH354)/AI354</f>
        <v>8.0188679245283015E-2</v>
      </c>
      <c r="AK354" s="6">
        <f>SUM(E354:W354)</f>
        <v>135</v>
      </c>
    </row>
    <row r="355" spans="1:37" s="7" customFormat="1" ht="39" customHeight="1" x14ac:dyDescent="0.25">
      <c r="A355" s="13">
        <v>46158</v>
      </c>
      <c r="B355" s="21" t="s">
        <v>1</v>
      </c>
      <c r="C355" s="11" t="s">
        <v>2</v>
      </c>
      <c r="D355" s="11">
        <v>27</v>
      </c>
      <c r="E355" s="6">
        <v>69</v>
      </c>
      <c r="F355" s="10">
        <v>38</v>
      </c>
      <c r="G355" s="10"/>
      <c r="H355" s="10">
        <v>12</v>
      </c>
      <c r="I355" s="10">
        <v>13</v>
      </c>
      <c r="J355" s="10"/>
      <c r="K355" s="6"/>
      <c r="L355" s="6"/>
      <c r="M355" s="6"/>
      <c r="N355" s="6"/>
      <c r="O355" s="6"/>
      <c r="P355" s="6"/>
      <c r="Q355" s="6"/>
      <c r="R355" s="6">
        <v>24</v>
      </c>
      <c r="S355" s="6"/>
      <c r="T355" s="6"/>
      <c r="U355" s="6"/>
      <c r="V355" s="6"/>
      <c r="W355" s="6"/>
      <c r="X355" s="6"/>
      <c r="Y355" s="6"/>
      <c r="Z355" s="6">
        <v>41</v>
      </c>
      <c r="AA355" s="6"/>
      <c r="AB355" s="6">
        <f>SUM(E355:AA355)</f>
        <v>197</v>
      </c>
      <c r="AC355" s="6">
        <v>58</v>
      </c>
      <c r="AD355" s="9">
        <f>SUM(AB355:AC355)</f>
        <v>255</v>
      </c>
      <c r="AE355" s="8">
        <f>AB355/AD355</f>
        <v>0.77254901960784317</v>
      </c>
      <c r="AF355" s="14">
        <v>220</v>
      </c>
      <c r="AG355" s="6">
        <v>0</v>
      </c>
      <c r="AH355" s="14">
        <v>15</v>
      </c>
      <c r="AI355" s="9">
        <f>AH355+AG355+AF355</f>
        <v>235</v>
      </c>
      <c r="AJ355" s="8">
        <f>(AG355+AH355)/AI355</f>
        <v>6.3829787234042548E-2</v>
      </c>
      <c r="AK355" s="6">
        <f>SUM(E355:W355)</f>
        <v>156</v>
      </c>
    </row>
    <row r="356" spans="1:37" s="7" customFormat="1" ht="39" customHeight="1" x14ac:dyDescent="0.25">
      <c r="A356" s="13">
        <v>46158</v>
      </c>
      <c r="B356" s="21" t="s">
        <v>1</v>
      </c>
      <c r="C356" s="11" t="s">
        <v>0</v>
      </c>
      <c r="D356" s="11">
        <v>28</v>
      </c>
      <c r="E356" s="10">
        <v>59</v>
      </c>
      <c r="F356" s="10">
        <v>31</v>
      </c>
      <c r="G356" s="10">
        <v>9</v>
      </c>
      <c r="H356" s="10">
        <v>13</v>
      </c>
      <c r="I356" s="10"/>
      <c r="J356" s="10">
        <v>26</v>
      </c>
      <c r="K356" s="6"/>
      <c r="L356" s="6"/>
      <c r="M356" s="6"/>
      <c r="N356" s="6"/>
      <c r="O356" s="6"/>
      <c r="P356" s="6"/>
      <c r="Q356" s="6"/>
      <c r="R356" s="6">
        <v>16</v>
      </c>
      <c r="S356" s="6"/>
      <c r="T356" s="6"/>
      <c r="U356" s="6"/>
      <c r="V356" s="6"/>
      <c r="W356" s="6"/>
      <c r="X356" s="6"/>
      <c r="Y356" s="6"/>
      <c r="Z356" s="6">
        <v>8</v>
      </c>
      <c r="AA356" s="6"/>
      <c r="AB356" s="6">
        <f>SUM(E356:AA356)</f>
        <v>162</v>
      </c>
      <c r="AC356" s="6">
        <v>16</v>
      </c>
      <c r="AD356" s="9">
        <f>SUM(AB356:AC356)</f>
        <v>178</v>
      </c>
      <c r="AE356" s="8">
        <f>AB356/AD356</f>
        <v>0.9101123595505618</v>
      </c>
      <c r="AF356" s="6">
        <v>276</v>
      </c>
      <c r="AG356" s="6">
        <v>2</v>
      </c>
      <c r="AH356" s="6">
        <v>18</v>
      </c>
      <c r="AI356" s="9">
        <f>AH356+AG356+AF356</f>
        <v>296</v>
      </c>
      <c r="AJ356" s="8">
        <f>(AG356+AH356)/AI356</f>
        <v>6.7567567567567571E-2</v>
      </c>
      <c r="AK356" s="6">
        <f>SUM(E356:W356)</f>
        <v>154</v>
      </c>
    </row>
    <row r="357" spans="1:37" s="7" customFormat="1" ht="39" customHeight="1" x14ac:dyDescent="0.25">
      <c r="A357" s="20">
        <v>46160</v>
      </c>
      <c r="B357" s="19" t="s">
        <v>1</v>
      </c>
      <c r="C357" s="25" t="s">
        <v>3</v>
      </c>
      <c r="D357" s="25">
        <v>1</v>
      </c>
      <c r="E357" s="24">
        <v>32</v>
      </c>
      <c r="F357" s="24">
        <v>22</v>
      </c>
      <c r="G357" s="24">
        <v>17</v>
      </c>
      <c r="H357" s="24"/>
      <c r="I357" s="24">
        <v>4</v>
      </c>
      <c r="J357" s="24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>
        <v>11</v>
      </c>
      <c r="Y357" s="15"/>
      <c r="Z357" s="15">
        <v>7</v>
      </c>
      <c r="AA357" s="15"/>
      <c r="AB357" s="15">
        <f>SUM(E357:AA357)</f>
        <v>93</v>
      </c>
      <c r="AC357" s="15">
        <v>256</v>
      </c>
      <c r="AD357" s="17">
        <f>SUM(AB357:AC357)</f>
        <v>349</v>
      </c>
      <c r="AE357" s="16">
        <f>AB357/AD357</f>
        <v>0.26647564469914042</v>
      </c>
      <c r="AF357" s="15">
        <v>884</v>
      </c>
      <c r="AG357" s="15">
        <v>0</v>
      </c>
      <c r="AH357" s="15">
        <v>37</v>
      </c>
      <c r="AI357" s="17">
        <f>AH357+AG357+AF357</f>
        <v>921</v>
      </c>
      <c r="AJ357" s="16">
        <f>(AG357+AH357)/AI357</f>
        <v>4.0173724212812158E-2</v>
      </c>
      <c r="AK357" s="15">
        <f>SUM(E357:W357)</f>
        <v>75</v>
      </c>
    </row>
    <row r="358" spans="1:37" s="7" customFormat="1" ht="39" customHeight="1" x14ac:dyDescent="0.25">
      <c r="A358" s="13">
        <v>46160</v>
      </c>
      <c r="B358" s="21" t="s">
        <v>1</v>
      </c>
      <c r="C358" s="11" t="s">
        <v>17</v>
      </c>
      <c r="D358" s="11">
        <v>2</v>
      </c>
      <c r="E358" s="6">
        <v>565</v>
      </c>
      <c r="F358" s="10">
        <v>423</v>
      </c>
      <c r="G358" s="10">
        <v>15</v>
      </c>
      <c r="H358" s="10">
        <v>133</v>
      </c>
      <c r="I358" s="10"/>
      <c r="J358" s="10"/>
      <c r="K358" s="6"/>
      <c r="L358" s="6">
        <v>50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>
        <f>35+40+30</f>
        <v>105</v>
      </c>
      <c r="X358" s="6"/>
      <c r="Y358" s="6"/>
      <c r="Z358" s="6">
        <v>235</v>
      </c>
      <c r="AA358" s="6"/>
      <c r="AB358" s="6">
        <f>SUM(E358:AA358)</f>
        <v>1526</v>
      </c>
      <c r="AC358" s="6">
        <v>330</v>
      </c>
      <c r="AD358" s="9">
        <f>SUM(AB358:AC358)</f>
        <v>1856</v>
      </c>
      <c r="AE358" s="8">
        <f>AB358/AD358</f>
        <v>0.82219827586206895</v>
      </c>
      <c r="AF358" s="14">
        <v>851</v>
      </c>
      <c r="AG358" s="6">
        <v>0</v>
      </c>
      <c r="AH358" s="14">
        <v>7</v>
      </c>
      <c r="AI358" s="9">
        <f>AH358+AG358+AF358</f>
        <v>858</v>
      </c>
      <c r="AJ358" s="8">
        <f>(AG358+AH358)/AI358</f>
        <v>8.1585081585081581E-3</v>
      </c>
      <c r="AK358" s="6">
        <f>SUM(E358:W358)</f>
        <v>1291</v>
      </c>
    </row>
    <row r="359" spans="1:37" s="7" customFormat="1" ht="39" customHeight="1" x14ac:dyDescent="0.25">
      <c r="A359" s="13">
        <v>46160</v>
      </c>
      <c r="B359" s="21" t="s">
        <v>1</v>
      </c>
      <c r="C359" s="11" t="s">
        <v>16</v>
      </c>
      <c r="D359" s="11">
        <v>3</v>
      </c>
      <c r="E359" s="6">
        <v>27</v>
      </c>
      <c r="F359" s="10">
        <v>23</v>
      </c>
      <c r="G359" s="10">
        <v>18</v>
      </c>
      <c r="H359" s="10">
        <v>9</v>
      </c>
      <c r="I359" s="10"/>
      <c r="J359" s="10"/>
      <c r="K359" s="6"/>
      <c r="L359" s="6"/>
      <c r="M359" s="6"/>
      <c r="N359" s="6"/>
      <c r="O359" s="6"/>
      <c r="P359" s="6"/>
      <c r="Q359" s="6"/>
      <c r="R359" s="6"/>
      <c r="S359" s="6">
        <v>22</v>
      </c>
      <c r="T359" s="6"/>
      <c r="U359" s="6"/>
      <c r="V359" s="6"/>
      <c r="W359" s="6"/>
      <c r="X359" s="6"/>
      <c r="Y359" s="6"/>
      <c r="Z359" s="6">
        <v>7</v>
      </c>
      <c r="AA359" s="6"/>
      <c r="AB359" s="6">
        <f>SUM(E359:AA359)</f>
        <v>106</v>
      </c>
      <c r="AC359" s="6">
        <v>565</v>
      </c>
      <c r="AD359" s="9">
        <f>SUM(AB359:AC359)</f>
        <v>671</v>
      </c>
      <c r="AE359" s="8">
        <f>AB359/AD359</f>
        <v>0.15797317436661698</v>
      </c>
      <c r="AF359" s="6">
        <v>849</v>
      </c>
      <c r="AG359" s="6">
        <v>0</v>
      </c>
      <c r="AH359" s="6">
        <v>10</v>
      </c>
      <c r="AI359" s="9">
        <f>AH359+AG359+AF359</f>
        <v>859</v>
      </c>
      <c r="AJ359" s="8">
        <f>(AG359+AH359)/AI359</f>
        <v>1.1641443538998836E-2</v>
      </c>
      <c r="AK359" s="6">
        <f>SUM(E359:W359)</f>
        <v>99</v>
      </c>
    </row>
    <row r="360" spans="1:37" s="7" customFormat="1" ht="39" customHeight="1" x14ac:dyDescent="0.25">
      <c r="A360" s="13">
        <v>46160</v>
      </c>
      <c r="B360" s="12" t="s">
        <v>1</v>
      </c>
      <c r="C360" s="11" t="s">
        <v>16</v>
      </c>
      <c r="D360" s="21">
        <v>4</v>
      </c>
      <c r="E360" s="10">
        <v>104</v>
      </c>
      <c r="F360" s="10">
        <v>163</v>
      </c>
      <c r="G360" s="10">
        <v>11</v>
      </c>
      <c r="H360" s="10">
        <v>56</v>
      </c>
      <c r="I360" s="10"/>
      <c r="J360" s="10"/>
      <c r="K360" s="6"/>
      <c r="L360" s="6"/>
      <c r="M360" s="6"/>
      <c r="N360" s="6"/>
      <c r="O360" s="6"/>
      <c r="P360" s="6"/>
      <c r="Q360" s="6"/>
      <c r="R360" s="6">
        <v>40</v>
      </c>
      <c r="S360" s="6"/>
      <c r="T360" s="6"/>
      <c r="U360" s="6"/>
      <c r="V360" s="6"/>
      <c r="W360" s="6"/>
      <c r="X360" s="6"/>
      <c r="Y360" s="6"/>
      <c r="Z360" s="6">
        <v>55</v>
      </c>
      <c r="AA360" s="6"/>
      <c r="AB360" s="6">
        <f>SUM(E360:AA360)</f>
        <v>429</v>
      </c>
      <c r="AC360" s="6">
        <v>652</v>
      </c>
      <c r="AD360" s="9">
        <f>SUM(AB360:AC360)</f>
        <v>1081</v>
      </c>
      <c r="AE360" s="8">
        <f>AB360/AD360</f>
        <v>0.39685476410730802</v>
      </c>
      <c r="AF360" s="14">
        <v>895</v>
      </c>
      <c r="AG360" s="6">
        <v>0</v>
      </c>
      <c r="AH360" s="14">
        <v>9</v>
      </c>
      <c r="AI360" s="9">
        <f>AH360+AG360+AF360</f>
        <v>904</v>
      </c>
      <c r="AJ360" s="8">
        <f>(AG360+AH360)/AI360</f>
        <v>9.9557522123893804E-3</v>
      </c>
      <c r="AK360" s="6">
        <f>SUM(E360:W360)</f>
        <v>374</v>
      </c>
    </row>
    <row r="361" spans="1:37" s="7" customFormat="1" ht="39" customHeight="1" x14ac:dyDescent="0.25">
      <c r="A361" s="13">
        <v>46160</v>
      </c>
      <c r="B361" s="21" t="s">
        <v>1</v>
      </c>
      <c r="C361" s="11" t="s">
        <v>16</v>
      </c>
      <c r="D361" s="11">
        <v>5</v>
      </c>
      <c r="E361" s="10">
        <v>339</v>
      </c>
      <c r="F361" s="10">
        <v>341</v>
      </c>
      <c r="G361" s="10">
        <v>129</v>
      </c>
      <c r="H361" s="10">
        <v>229</v>
      </c>
      <c r="I361" s="10"/>
      <c r="J361" s="10"/>
      <c r="K361" s="6"/>
      <c r="L361" s="6"/>
      <c r="M361" s="6"/>
      <c r="N361" s="6"/>
      <c r="O361" s="6"/>
      <c r="P361" s="6"/>
      <c r="Q361" s="6"/>
      <c r="R361" s="6">
        <v>209</v>
      </c>
      <c r="S361" s="6"/>
      <c r="T361" s="6"/>
      <c r="U361" s="6"/>
      <c r="V361" s="6"/>
      <c r="W361" s="6"/>
      <c r="X361" s="6"/>
      <c r="Y361" s="6"/>
      <c r="Z361" s="6">
        <v>33</v>
      </c>
      <c r="AA361" s="6"/>
      <c r="AB361" s="6">
        <f>SUM(E361:AA361)</f>
        <v>1280</v>
      </c>
      <c r="AC361" s="6">
        <v>242</v>
      </c>
      <c r="AD361" s="9">
        <f>SUM(AB361:AC361)</f>
        <v>1522</v>
      </c>
      <c r="AE361" s="8">
        <f>AB361/AD361</f>
        <v>0.84099868593955318</v>
      </c>
      <c r="AF361" s="6">
        <v>482</v>
      </c>
      <c r="AG361" s="6">
        <v>0</v>
      </c>
      <c r="AH361" s="6">
        <v>5</v>
      </c>
      <c r="AI361" s="9">
        <f>AH361+AG361+AF361</f>
        <v>487</v>
      </c>
      <c r="AJ361" s="8">
        <f>(AG361+AH361)/AI361</f>
        <v>1.0266940451745379E-2</v>
      </c>
      <c r="AK361" s="6">
        <f>SUM(E361:W361)</f>
        <v>1247</v>
      </c>
    </row>
    <row r="362" spans="1:37" s="7" customFormat="1" ht="39" customHeight="1" x14ac:dyDescent="0.25">
      <c r="A362" s="13">
        <v>46160</v>
      </c>
      <c r="B362" s="12" t="s">
        <v>1</v>
      </c>
      <c r="C362" s="11" t="s">
        <v>15</v>
      </c>
      <c r="D362" s="11">
        <v>6</v>
      </c>
      <c r="E362" s="10">
        <v>37</v>
      </c>
      <c r="F362" s="10">
        <v>40</v>
      </c>
      <c r="G362" s="10">
        <v>21</v>
      </c>
      <c r="H362" s="10">
        <v>30</v>
      </c>
      <c r="I362" s="10"/>
      <c r="J362" s="10"/>
      <c r="K362" s="6"/>
      <c r="L362" s="6"/>
      <c r="M362" s="6"/>
      <c r="N362" s="6"/>
      <c r="O362" s="6"/>
      <c r="P362" s="6"/>
      <c r="Q362" s="6"/>
      <c r="R362" s="6">
        <v>18</v>
      </c>
      <c r="S362" s="6"/>
      <c r="T362" s="6"/>
      <c r="U362" s="6"/>
      <c r="V362" s="6"/>
      <c r="W362" s="6"/>
      <c r="X362" s="6"/>
      <c r="Y362" s="6"/>
      <c r="Z362" s="6">
        <v>47</v>
      </c>
      <c r="AA362" s="6"/>
      <c r="AB362" s="6">
        <f>SUM(E362:AA362)</f>
        <v>193</v>
      </c>
      <c r="AC362" s="6">
        <v>546</v>
      </c>
      <c r="AD362" s="9">
        <f>SUM(AB362:AC362)</f>
        <v>739</v>
      </c>
      <c r="AE362" s="8">
        <f>AB362/AD362</f>
        <v>0.26116373477672533</v>
      </c>
      <c r="AF362" s="6">
        <v>1018</v>
      </c>
      <c r="AG362" s="6">
        <v>11</v>
      </c>
      <c r="AH362" s="6">
        <v>7</v>
      </c>
      <c r="AI362" s="9">
        <f>AH362+AG362+AF362</f>
        <v>1036</v>
      </c>
      <c r="AJ362" s="8">
        <f>(AG362+AH362)/AI362</f>
        <v>1.7374517374517374E-2</v>
      </c>
      <c r="AK362" s="6">
        <f>SUM(E362:W362)</f>
        <v>146</v>
      </c>
    </row>
    <row r="363" spans="1:37" s="7" customFormat="1" ht="39" customHeight="1" x14ac:dyDescent="0.25">
      <c r="A363" s="13">
        <v>46160</v>
      </c>
      <c r="B363" s="12" t="s">
        <v>1</v>
      </c>
      <c r="C363" s="11" t="s">
        <v>14</v>
      </c>
      <c r="D363" s="11">
        <v>7</v>
      </c>
      <c r="E363" s="10">
        <v>70</v>
      </c>
      <c r="F363" s="10">
        <v>70</v>
      </c>
      <c r="G363" s="10">
        <v>70</v>
      </c>
      <c r="H363" s="10">
        <v>40</v>
      </c>
      <c r="I363" s="10"/>
      <c r="J363" s="10"/>
      <c r="K363" s="6"/>
      <c r="L363" s="6">
        <v>30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>
        <v>46</v>
      </c>
      <c r="AA363" s="6"/>
      <c r="AB363" s="6">
        <f>SUM(E363:AA363)</f>
        <v>326</v>
      </c>
      <c r="AC363" s="6">
        <v>804</v>
      </c>
      <c r="AD363" s="9">
        <f>SUM(AB363:AC363)</f>
        <v>1130</v>
      </c>
      <c r="AE363" s="8">
        <f>AB363/AD363</f>
        <v>0.28849557522123892</v>
      </c>
      <c r="AF363" s="14">
        <v>840</v>
      </c>
      <c r="AG363" s="6">
        <v>0</v>
      </c>
      <c r="AH363" s="14">
        <v>37</v>
      </c>
      <c r="AI363" s="9">
        <f>AH363+AG363+AF363</f>
        <v>877</v>
      </c>
      <c r="AJ363" s="8">
        <f>(AG363+AH363)/AI363</f>
        <v>4.2189281641961229E-2</v>
      </c>
      <c r="AK363" s="6">
        <f>SUM(E363:W363)</f>
        <v>280</v>
      </c>
    </row>
    <row r="364" spans="1:37" s="7" customFormat="1" ht="39" customHeight="1" x14ac:dyDescent="0.25">
      <c r="A364" s="13">
        <v>46160</v>
      </c>
      <c r="B364" s="21" t="s">
        <v>1</v>
      </c>
      <c r="C364" s="11" t="s">
        <v>13</v>
      </c>
      <c r="D364" s="11">
        <v>8</v>
      </c>
      <c r="E364" s="10">
        <v>50</v>
      </c>
      <c r="F364" s="10">
        <v>15</v>
      </c>
      <c r="G364" s="10">
        <v>6</v>
      </c>
      <c r="H364" s="10">
        <v>14</v>
      </c>
      <c r="I364" s="10"/>
      <c r="J364" s="10"/>
      <c r="K364" s="6"/>
      <c r="L364" s="6"/>
      <c r="M364" s="6"/>
      <c r="N364" s="6"/>
      <c r="O364" s="6"/>
      <c r="P364" s="6"/>
      <c r="Q364" s="6"/>
      <c r="R364" s="6">
        <v>17</v>
      </c>
      <c r="S364" s="6"/>
      <c r="T364" s="6"/>
      <c r="U364" s="6"/>
      <c r="V364" s="6"/>
      <c r="W364" s="6"/>
      <c r="X364" s="6"/>
      <c r="Y364" s="6"/>
      <c r="Z364" s="6">
        <v>18</v>
      </c>
      <c r="AA364" s="6"/>
      <c r="AB364" s="6">
        <f>SUM(E364:AA364)</f>
        <v>120</v>
      </c>
      <c r="AC364" s="6">
        <v>726</v>
      </c>
      <c r="AD364" s="9">
        <f>SUM(AB364:AC364)</f>
        <v>846</v>
      </c>
      <c r="AE364" s="8">
        <f>AB364/AD364</f>
        <v>0.14184397163120568</v>
      </c>
      <c r="AF364" s="6">
        <v>860</v>
      </c>
      <c r="AG364" s="6">
        <v>0</v>
      </c>
      <c r="AH364" s="6">
        <v>24</v>
      </c>
      <c r="AI364" s="9">
        <f>AH364+AG364+AF364</f>
        <v>884</v>
      </c>
      <c r="AJ364" s="8">
        <f>(AG364+AH364)/AI364</f>
        <v>2.7149321266968326E-2</v>
      </c>
      <c r="AK364" s="6">
        <f>SUM(E364:W364)</f>
        <v>102</v>
      </c>
    </row>
    <row r="365" spans="1:37" s="7" customFormat="1" ht="39" customHeight="1" x14ac:dyDescent="0.25">
      <c r="A365" s="13">
        <v>46160</v>
      </c>
      <c r="B365" s="12" t="s">
        <v>1</v>
      </c>
      <c r="C365" s="11" t="s">
        <v>12</v>
      </c>
      <c r="D365" s="11">
        <v>9</v>
      </c>
      <c r="E365" s="10">
        <v>25</v>
      </c>
      <c r="F365" s="10">
        <v>118</v>
      </c>
      <c r="G365" s="10">
        <v>125</v>
      </c>
      <c r="H365" s="10"/>
      <c r="I365" s="10"/>
      <c r="J365" s="10">
        <v>110</v>
      </c>
      <c r="K365" s="6">
        <v>40</v>
      </c>
      <c r="L365" s="6">
        <v>130</v>
      </c>
      <c r="M365" s="6"/>
      <c r="N365" s="6"/>
      <c r="O365" s="6"/>
      <c r="P365" s="6"/>
      <c r="Q365" s="6"/>
      <c r="R365" s="6">
        <v>138</v>
      </c>
      <c r="S365" s="6"/>
      <c r="T365" s="6"/>
      <c r="U365" s="6"/>
      <c r="V365" s="6"/>
      <c r="W365" s="6"/>
      <c r="X365" s="6"/>
      <c r="Y365" s="6"/>
      <c r="Z365" s="6">
        <v>63</v>
      </c>
      <c r="AA365" s="6"/>
      <c r="AB365" s="6">
        <f>SUM(E365:AA365)</f>
        <v>749</v>
      </c>
      <c r="AC365" s="6">
        <v>854</v>
      </c>
      <c r="AD365" s="9">
        <f>SUM(AB365:AC365)</f>
        <v>1603</v>
      </c>
      <c r="AE365" s="8">
        <f>AB365/AD365</f>
        <v>0.46724890829694321</v>
      </c>
      <c r="AF365" s="14">
        <v>1028</v>
      </c>
      <c r="AG365" s="6">
        <v>4</v>
      </c>
      <c r="AH365" s="14">
        <v>5</v>
      </c>
      <c r="AI365" s="9">
        <f>AH365+AG365+AF365</f>
        <v>1037</v>
      </c>
      <c r="AJ365" s="8">
        <f>(AG365+AH365)/AI365</f>
        <v>8.6788813886210219E-3</v>
      </c>
      <c r="AK365" s="6">
        <f>SUM(E365:W365)</f>
        <v>686</v>
      </c>
    </row>
    <row r="366" spans="1:37" s="7" customFormat="1" ht="39" customHeight="1" x14ac:dyDescent="0.25">
      <c r="A366" s="13">
        <v>46160</v>
      </c>
      <c r="B366" s="12" t="s">
        <v>1</v>
      </c>
      <c r="C366" s="11" t="s">
        <v>0</v>
      </c>
      <c r="D366" s="11">
        <v>10</v>
      </c>
      <c r="E366" s="6">
        <v>62</v>
      </c>
      <c r="F366" s="10">
        <v>67</v>
      </c>
      <c r="G366" s="10">
        <v>21</v>
      </c>
      <c r="H366" s="10">
        <v>8</v>
      </c>
      <c r="I366" s="10"/>
      <c r="J366" s="10"/>
      <c r="K366" s="6"/>
      <c r="L366" s="6">
        <v>8</v>
      </c>
      <c r="M366" s="6"/>
      <c r="N366" s="6"/>
      <c r="O366" s="6"/>
      <c r="P366" s="6"/>
      <c r="Q366" s="6"/>
      <c r="R366" s="6">
        <v>19</v>
      </c>
      <c r="S366" s="6"/>
      <c r="T366" s="6"/>
      <c r="U366" s="6"/>
      <c r="V366" s="6"/>
      <c r="W366" s="6"/>
      <c r="X366" s="6"/>
      <c r="Y366" s="6"/>
      <c r="Z366" s="6">
        <v>20</v>
      </c>
      <c r="AA366" s="6"/>
      <c r="AB366" s="6">
        <f>SUM(E366:AA366)</f>
        <v>205</v>
      </c>
      <c r="AC366" s="6">
        <v>163</v>
      </c>
      <c r="AD366" s="9">
        <f>SUM(AB366:AC366)</f>
        <v>368</v>
      </c>
      <c r="AE366" s="8">
        <f>AB366/AD366</f>
        <v>0.55706521739130432</v>
      </c>
      <c r="AF366" s="6">
        <v>60</v>
      </c>
      <c r="AG366" s="6">
        <v>11</v>
      </c>
      <c r="AH366" s="6">
        <v>10</v>
      </c>
      <c r="AI366" s="9">
        <f>AH366+AG366+AF366</f>
        <v>81</v>
      </c>
      <c r="AJ366" s="8">
        <f>(AG366+AH366)/AI366</f>
        <v>0.25925925925925924</v>
      </c>
      <c r="AK366" s="6">
        <f>SUM(E366:W366)</f>
        <v>185</v>
      </c>
    </row>
    <row r="367" spans="1:37" s="7" customFormat="1" ht="39" customHeight="1" x14ac:dyDescent="0.25">
      <c r="A367" s="13">
        <v>46160</v>
      </c>
      <c r="B367" s="21" t="s">
        <v>1</v>
      </c>
      <c r="C367" s="11" t="s">
        <v>10</v>
      </c>
      <c r="D367" s="11">
        <v>11</v>
      </c>
      <c r="E367" s="10">
        <v>52</v>
      </c>
      <c r="F367" s="10">
        <v>54</v>
      </c>
      <c r="G367" s="10">
        <v>17</v>
      </c>
      <c r="H367" s="10">
        <v>24</v>
      </c>
      <c r="I367" s="10"/>
      <c r="J367" s="10"/>
      <c r="K367" s="6"/>
      <c r="L367" s="6"/>
      <c r="M367" s="6"/>
      <c r="N367" s="6"/>
      <c r="O367" s="6"/>
      <c r="P367" s="6"/>
      <c r="Q367" s="6"/>
      <c r="R367" s="6">
        <v>25</v>
      </c>
      <c r="S367" s="6"/>
      <c r="T367" s="6"/>
      <c r="U367" s="6"/>
      <c r="V367" s="6"/>
      <c r="W367" s="6"/>
      <c r="X367" s="6"/>
      <c r="Y367" s="6"/>
      <c r="Z367" s="6">
        <v>27</v>
      </c>
      <c r="AA367" s="6"/>
      <c r="AB367" s="6">
        <f>SUM(E367:AA367)</f>
        <v>199</v>
      </c>
      <c r="AC367" s="6">
        <v>716</v>
      </c>
      <c r="AD367" s="9">
        <f>SUM(AB367:AC367)</f>
        <v>915</v>
      </c>
      <c r="AE367" s="8">
        <f>AB367/AD367</f>
        <v>0.2174863387978142</v>
      </c>
      <c r="AF367" s="6">
        <v>728</v>
      </c>
      <c r="AG367" s="6">
        <v>0</v>
      </c>
      <c r="AH367" s="6">
        <v>11</v>
      </c>
      <c r="AI367" s="9">
        <f>AH367+AG367+AF367</f>
        <v>739</v>
      </c>
      <c r="AJ367" s="8">
        <f>(AG367+AH367)/AI367</f>
        <v>1.4884979702300407E-2</v>
      </c>
      <c r="AK367" s="6">
        <f>SUM(E367:W367)</f>
        <v>172</v>
      </c>
    </row>
    <row r="368" spans="1:37" s="7" customFormat="1" ht="39" customHeight="1" x14ac:dyDescent="0.25">
      <c r="A368" s="13">
        <v>46160</v>
      </c>
      <c r="B368" s="21" t="s">
        <v>1</v>
      </c>
      <c r="C368" s="11" t="s">
        <v>11</v>
      </c>
      <c r="D368" s="11">
        <v>13</v>
      </c>
      <c r="E368" s="10">
        <v>42</v>
      </c>
      <c r="F368" s="10">
        <v>65</v>
      </c>
      <c r="G368" s="10">
        <v>10</v>
      </c>
      <c r="H368" s="10"/>
      <c r="I368" s="10"/>
      <c r="J368" s="10"/>
      <c r="K368" s="6"/>
      <c r="L368" s="6">
        <v>21</v>
      </c>
      <c r="M368" s="6"/>
      <c r="N368" s="6"/>
      <c r="O368" s="6"/>
      <c r="P368" s="6"/>
      <c r="Q368" s="6"/>
      <c r="R368" s="6">
        <v>23</v>
      </c>
      <c r="S368" s="6"/>
      <c r="T368" s="6"/>
      <c r="U368" s="6"/>
      <c r="V368" s="6">
        <v>15</v>
      </c>
      <c r="W368" s="6"/>
      <c r="X368" s="6"/>
      <c r="Y368" s="6"/>
      <c r="Z368" s="6">
        <v>11</v>
      </c>
      <c r="AA368" s="6"/>
      <c r="AB368" s="6">
        <f>SUM(E368:AA368)</f>
        <v>187</v>
      </c>
      <c r="AC368" s="6">
        <v>163</v>
      </c>
      <c r="AD368" s="9">
        <f>SUM(AB368:AC368)</f>
        <v>350</v>
      </c>
      <c r="AE368" s="8">
        <f>AB368/AD368</f>
        <v>0.53428571428571425</v>
      </c>
      <c r="AF368" s="6">
        <v>667</v>
      </c>
      <c r="AG368" s="6">
        <v>15</v>
      </c>
      <c r="AH368" s="6">
        <v>0</v>
      </c>
      <c r="AI368" s="9">
        <f>AH368+AG368+AF368</f>
        <v>682</v>
      </c>
      <c r="AJ368" s="8">
        <f>(AG368+AH368)/AI368</f>
        <v>2.1994134897360705E-2</v>
      </c>
      <c r="AK368" s="6">
        <f>SUM(E368:W368)</f>
        <v>176</v>
      </c>
    </row>
    <row r="369" spans="1:37" s="7" customFormat="1" ht="39" customHeight="1" x14ac:dyDescent="0.25">
      <c r="A369" s="13">
        <v>46160</v>
      </c>
      <c r="B369" s="12" t="s">
        <v>1</v>
      </c>
      <c r="C369" s="11" t="s">
        <v>8</v>
      </c>
      <c r="D369" s="11">
        <v>14</v>
      </c>
      <c r="E369" s="10"/>
      <c r="F369" s="10">
        <v>95</v>
      </c>
      <c r="G369" s="10">
        <v>125</v>
      </c>
      <c r="H369" s="10"/>
      <c r="I369" s="10"/>
      <c r="J369" s="10"/>
      <c r="K369" s="6"/>
      <c r="L369" s="6">
        <v>40</v>
      </c>
      <c r="M369" s="6"/>
      <c r="N369" s="6">
        <v>30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>
        <v>41</v>
      </c>
      <c r="AA369" s="6"/>
      <c r="AB369" s="6">
        <f>SUM(E369:AA369)</f>
        <v>331</v>
      </c>
      <c r="AC369" s="6">
        <v>144</v>
      </c>
      <c r="AD369" s="9">
        <f>SUM(AB369:AC369)</f>
        <v>475</v>
      </c>
      <c r="AE369" s="8">
        <f>AB369/AD369</f>
        <v>0.69684210526315793</v>
      </c>
      <c r="AF369" s="14">
        <v>662</v>
      </c>
      <c r="AG369" s="6">
        <v>10</v>
      </c>
      <c r="AH369" s="14">
        <v>21</v>
      </c>
      <c r="AI369" s="9">
        <f>AH369+AG369+AF369</f>
        <v>693</v>
      </c>
      <c r="AJ369" s="8">
        <f>(AG369+AH369)/AI369</f>
        <v>4.4733044733044736E-2</v>
      </c>
      <c r="AK369" s="6">
        <f>SUM(E369:W369)</f>
        <v>290</v>
      </c>
    </row>
    <row r="370" spans="1:37" s="7" customFormat="1" ht="39" customHeight="1" x14ac:dyDescent="0.25">
      <c r="A370" s="13">
        <v>46160</v>
      </c>
      <c r="B370" s="21" t="s">
        <v>1</v>
      </c>
      <c r="C370" s="11" t="s">
        <v>7</v>
      </c>
      <c r="D370" s="11">
        <v>15</v>
      </c>
      <c r="E370" s="10">
        <v>53</v>
      </c>
      <c r="F370" s="10">
        <v>30</v>
      </c>
      <c r="G370" s="10">
        <v>36</v>
      </c>
      <c r="H370" s="10">
        <v>3</v>
      </c>
      <c r="I370" s="10">
        <v>16</v>
      </c>
      <c r="J370" s="10">
        <v>4</v>
      </c>
      <c r="K370" s="6"/>
      <c r="L370" s="6">
        <v>5</v>
      </c>
      <c r="M370" s="6"/>
      <c r="N370" s="6">
        <v>5</v>
      </c>
      <c r="O370" s="6"/>
      <c r="P370" s="6"/>
      <c r="Q370" s="6"/>
      <c r="R370" s="6">
        <f>7+7</f>
        <v>14</v>
      </c>
      <c r="S370" s="6"/>
      <c r="T370" s="6"/>
      <c r="U370" s="6"/>
      <c r="V370" s="6">
        <v>15</v>
      </c>
      <c r="W370" s="6"/>
      <c r="X370" s="6"/>
      <c r="Y370" s="6"/>
      <c r="Z370" s="6">
        <v>22</v>
      </c>
      <c r="AA370" s="6"/>
      <c r="AB370" s="6">
        <f>SUM(E370:AA370)</f>
        <v>203</v>
      </c>
      <c r="AC370" s="6">
        <v>146</v>
      </c>
      <c r="AD370" s="9">
        <f>SUM(AB370:AC370)</f>
        <v>349</v>
      </c>
      <c r="AE370" s="8">
        <f>AB370/AD370</f>
        <v>0.58166189111747846</v>
      </c>
      <c r="AF370" s="14">
        <v>285</v>
      </c>
      <c r="AG370" s="6">
        <v>0</v>
      </c>
      <c r="AH370" s="14">
        <v>11</v>
      </c>
      <c r="AI370" s="9">
        <f>AH370+AG370+AF370</f>
        <v>296</v>
      </c>
      <c r="AJ370" s="8">
        <f>(AG370+AH370)/AI370</f>
        <v>3.7162162162162164E-2</v>
      </c>
      <c r="AK370" s="6">
        <f>SUM(E370:W370)</f>
        <v>181</v>
      </c>
    </row>
    <row r="371" spans="1:37" s="7" customFormat="1" ht="39" customHeight="1" x14ac:dyDescent="0.25">
      <c r="A371" s="13">
        <v>46160</v>
      </c>
      <c r="B371" s="21" t="s">
        <v>1</v>
      </c>
      <c r="C371" s="11" t="s">
        <v>10</v>
      </c>
      <c r="D371" s="11">
        <v>16</v>
      </c>
      <c r="E371" s="10">
        <v>50</v>
      </c>
      <c r="F371" s="10">
        <v>188</v>
      </c>
      <c r="G371" s="10">
        <v>82</v>
      </c>
      <c r="H371" s="10">
        <v>46</v>
      </c>
      <c r="I371" s="10"/>
      <c r="J371" s="10">
        <v>10</v>
      </c>
      <c r="K371" s="6"/>
      <c r="L371" s="6">
        <v>25</v>
      </c>
      <c r="M371" s="6"/>
      <c r="N371" s="6"/>
      <c r="O371" s="6"/>
      <c r="P371" s="6"/>
      <c r="Q371" s="6"/>
      <c r="R371" s="6">
        <v>61</v>
      </c>
      <c r="S371" s="6"/>
      <c r="T371" s="6"/>
      <c r="U371" s="6"/>
      <c r="V371" s="6"/>
      <c r="W371" s="6"/>
      <c r="X371" s="6"/>
      <c r="Y371" s="6"/>
      <c r="Z371" s="6">
        <v>45</v>
      </c>
      <c r="AA371" s="6">
        <v>65</v>
      </c>
      <c r="AB371" s="6">
        <f>SUM(E371:AA371)</f>
        <v>572</v>
      </c>
      <c r="AC371" s="6">
        <v>588</v>
      </c>
      <c r="AD371" s="9">
        <f>SUM(AB371:AC371)</f>
        <v>1160</v>
      </c>
      <c r="AE371" s="8">
        <f>AB371/AD371</f>
        <v>0.49310344827586206</v>
      </c>
      <c r="AF371" s="6">
        <v>265</v>
      </c>
      <c r="AG371" s="6">
        <v>0</v>
      </c>
      <c r="AH371" s="6">
        <v>21</v>
      </c>
      <c r="AI371" s="9">
        <f>AH371+AG371+AF371</f>
        <v>286</v>
      </c>
      <c r="AJ371" s="8">
        <f>(AG371+AH371)/AI371</f>
        <v>7.3426573426573424E-2</v>
      </c>
      <c r="AK371" s="6">
        <f>SUM(E371:W371)</f>
        <v>462</v>
      </c>
    </row>
    <row r="372" spans="1:37" s="7" customFormat="1" ht="39" customHeight="1" x14ac:dyDescent="0.25">
      <c r="A372" s="13">
        <v>46160</v>
      </c>
      <c r="B372" s="21" t="s">
        <v>1</v>
      </c>
      <c r="C372" s="11" t="s">
        <v>10</v>
      </c>
      <c r="D372" s="21">
        <v>17</v>
      </c>
      <c r="E372" s="21">
        <v>17</v>
      </c>
      <c r="F372" s="21">
        <v>29</v>
      </c>
      <c r="G372" s="21">
        <v>11</v>
      </c>
      <c r="H372" s="21">
        <v>13</v>
      </c>
      <c r="I372" s="21">
        <v>12</v>
      </c>
      <c r="J372" s="21"/>
      <c r="K372" s="21"/>
      <c r="L372" s="6"/>
      <c r="M372" s="21"/>
      <c r="N372" s="21"/>
      <c r="O372" s="21"/>
      <c r="P372" s="21"/>
      <c r="Q372" s="21"/>
      <c r="R372" s="6">
        <v>10</v>
      </c>
      <c r="S372" s="6"/>
      <c r="T372" s="6"/>
      <c r="U372" s="21"/>
      <c r="V372" s="21"/>
      <c r="W372" s="6"/>
      <c r="X372" s="6"/>
      <c r="Y372" s="6"/>
      <c r="Z372" s="6">
        <v>8</v>
      </c>
      <c r="AA372" s="6"/>
      <c r="AB372" s="6">
        <f>SUM(E372:AA372)</f>
        <v>100</v>
      </c>
      <c r="AC372" s="22">
        <v>302</v>
      </c>
      <c r="AD372" s="9">
        <f>SUM(AB372:AC372)</f>
        <v>402</v>
      </c>
      <c r="AE372" s="8">
        <f>AB372/AD372</f>
        <v>0.24875621890547264</v>
      </c>
      <c r="AF372" s="6">
        <v>262</v>
      </c>
      <c r="AG372" s="6">
        <v>0</v>
      </c>
      <c r="AH372" s="6">
        <v>16</v>
      </c>
      <c r="AI372" s="9">
        <f>AH372+AG372+AF372</f>
        <v>278</v>
      </c>
      <c r="AJ372" s="8">
        <f>(AG372+AH372)/AI372</f>
        <v>5.7553956834532377E-2</v>
      </c>
      <c r="AK372" s="6">
        <f>SUM(E372:W372)</f>
        <v>92</v>
      </c>
    </row>
    <row r="373" spans="1:37" s="7" customFormat="1" ht="39" customHeight="1" x14ac:dyDescent="0.25">
      <c r="A373" s="13">
        <v>46160</v>
      </c>
      <c r="B373" s="21" t="s">
        <v>1</v>
      </c>
      <c r="C373" s="11" t="s">
        <v>6</v>
      </c>
      <c r="D373" s="11">
        <v>18</v>
      </c>
      <c r="E373" s="10">
        <v>95</v>
      </c>
      <c r="F373" s="10"/>
      <c r="G373" s="10">
        <v>15</v>
      </c>
      <c r="H373" s="10"/>
      <c r="I373" s="10"/>
      <c r="J373" s="10">
        <v>14</v>
      </c>
      <c r="K373" s="6"/>
      <c r="L373" s="6">
        <v>5</v>
      </c>
      <c r="M373" s="6"/>
      <c r="N373" s="6">
        <v>37</v>
      </c>
      <c r="O373" s="6"/>
      <c r="P373" s="6"/>
      <c r="Q373" s="6"/>
      <c r="R373" s="6">
        <v>32</v>
      </c>
      <c r="S373" s="6"/>
      <c r="T373" s="6"/>
      <c r="U373" s="6"/>
      <c r="V373" s="6"/>
      <c r="W373" s="6"/>
      <c r="X373" s="6"/>
      <c r="Y373" s="6"/>
      <c r="Z373" s="6">
        <v>20</v>
      </c>
      <c r="AA373" s="6"/>
      <c r="AB373" s="6">
        <f>SUM(E373:AA373)</f>
        <v>218</v>
      </c>
      <c r="AC373" s="6">
        <v>650</v>
      </c>
      <c r="AD373" s="9">
        <f>SUM(AB373:AC373)</f>
        <v>868</v>
      </c>
      <c r="AE373" s="8">
        <f>AB373/AD373</f>
        <v>0.25115207373271892</v>
      </c>
      <c r="AF373" s="6">
        <v>315</v>
      </c>
      <c r="AG373" s="6">
        <v>0</v>
      </c>
      <c r="AH373" s="6">
        <v>10</v>
      </c>
      <c r="AI373" s="9">
        <f>AH373+AG373+AF373</f>
        <v>325</v>
      </c>
      <c r="AJ373" s="8">
        <f>(AG373+AH373)/AI373</f>
        <v>3.0769230769230771E-2</v>
      </c>
      <c r="AK373" s="6">
        <f>SUM(E373:W373)</f>
        <v>198</v>
      </c>
    </row>
    <row r="374" spans="1:37" s="7" customFormat="1" ht="39" customHeight="1" x14ac:dyDescent="0.25">
      <c r="A374" s="13">
        <v>46160</v>
      </c>
      <c r="B374" s="21" t="s">
        <v>1</v>
      </c>
      <c r="C374" s="11" t="s">
        <v>2</v>
      </c>
      <c r="D374" s="11">
        <v>19</v>
      </c>
      <c r="E374" s="10">
        <v>135</v>
      </c>
      <c r="F374" s="10">
        <v>62</v>
      </c>
      <c r="G374" s="10">
        <v>73</v>
      </c>
      <c r="H374" s="10">
        <v>21</v>
      </c>
      <c r="I374" s="10">
        <v>39</v>
      </c>
      <c r="J374" s="10"/>
      <c r="K374" s="6">
        <v>43</v>
      </c>
      <c r="L374" s="6"/>
      <c r="M374" s="6"/>
      <c r="N374" s="6"/>
      <c r="O374" s="6"/>
      <c r="P374" s="6"/>
      <c r="Q374" s="6"/>
      <c r="R374" s="6">
        <f>17+47</f>
        <v>64</v>
      </c>
      <c r="S374" s="6"/>
      <c r="T374" s="6">
        <v>22</v>
      </c>
      <c r="U374" s="6"/>
      <c r="V374" s="6"/>
      <c r="W374" s="6"/>
      <c r="X374" s="6"/>
      <c r="Y374" s="6"/>
      <c r="Z374" s="6">
        <v>152</v>
      </c>
      <c r="AA374" s="6"/>
      <c r="AB374" s="6">
        <f>SUM(E374:AA374)</f>
        <v>611</v>
      </c>
      <c r="AC374" s="6">
        <v>417</v>
      </c>
      <c r="AD374" s="9">
        <f>SUM(AB374:AC374)</f>
        <v>1028</v>
      </c>
      <c r="AE374" s="8">
        <f>AB374/AD374</f>
        <v>0.5943579766536965</v>
      </c>
      <c r="AF374" s="14">
        <v>460</v>
      </c>
      <c r="AG374" s="6">
        <v>1</v>
      </c>
      <c r="AH374" s="14">
        <v>21</v>
      </c>
      <c r="AI374" s="9">
        <f>AH374+AG374+AF374</f>
        <v>482</v>
      </c>
      <c r="AJ374" s="8">
        <f>(AG374+AH374)/AI374</f>
        <v>4.5643153526970952E-2</v>
      </c>
      <c r="AK374" s="6">
        <f>SUM(E374:W374)</f>
        <v>459</v>
      </c>
    </row>
    <row r="375" spans="1:37" s="7" customFormat="1" ht="39" customHeight="1" x14ac:dyDescent="0.25">
      <c r="A375" s="13">
        <v>46160</v>
      </c>
      <c r="B375" s="21" t="s">
        <v>1</v>
      </c>
      <c r="C375" s="11" t="s">
        <v>9</v>
      </c>
      <c r="D375" s="11">
        <v>20</v>
      </c>
      <c r="E375" s="10">
        <v>55</v>
      </c>
      <c r="F375" s="10">
        <v>19</v>
      </c>
      <c r="G375" s="10">
        <v>32</v>
      </c>
      <c r="H375" s="10">
        <v>57</v>
      </c>
      <c r="I375" s="10">
        <v>66</v>
      </c>
      <c r="J375" s="10"/>
      <c r="K375" s="6"/>
      <c r="L375" s="6"/>
      <c r="M375" s="6"/>
      <c r="N375" s="6">
        <v>22</v>
      </c>
      <c r="O375" s="6"/>
      <c r="P375" s="6"/>
      <c r="Q375" s="6"/>
      <c r="R375" s="6">
        <v>34</v>
      </c>
      <c r="S375" s="6"/>
      <c r="T375" s="6"/>
      <c r="U375" s="6"/>
      <c r="V375" s="6"/>
      <c r="W375" s="6"/>
      <c r="X375" s="6"/>
      <c r="Y375" s="6"/>
      <c r="Z375" s="6">
        <v>51</v>
      </c>
      <c r="AA375" s="6"/>
      <c r="AB375" s="6">
        <f>SUM(E375:AA375)</f>
        <v>336</v>
      </c>
      <c r="AC375" s="6">
        <v>317</v>
      </c>
      <c r="AD375" s="9">
        <f>SUM(AB375:AC375)</f>
        <v>653</v>
      </c>
      <c r="AE375" s="8">
        <f>AB375/AD375</f>
        <v>0.51454823889739665</v>
      </c>
      <c r="AF375" s="6">
        <v>180</v>
      </c>
      <c r="AG375" s="6">
        <v>0</v>
      </c>
      <c r="AH375" s="6">
        <v>11</v>
      </c>
      <c r="AI375" s="9">
        <f>AH375+AG375+AF375</f>
        <v>191</v>
      </c>
      <c r="AJ375" s="8">
        <f>(AG375+AH375)/AI375</f>
        <v>5.7591623036649213E-2</v>
      </c>
      <c r="AK375" s="6">
        <f>SUM(E375:W375)</f>
        <v>285</v>
      </c>
    </row>
    <row r="376" spans="1:37" s="7" customFormat="1" ht="39" customHeight="1" x14ac:dyDescent="0.25">
      <c r="A376" s="13">
        <v>46160</v>
      </c>
      <c r="B376" s="21" t="s">
        <v>5</v>
      </c>
      <c r="C376" s="11" t="s">
        <v>4</v>
      </c>
      <c r="D376" s="11">
        <v>21</v>
      </c>
      <c r="E376" s="10">
        <v>79</v>
      </c>
      <c r="F376" s="10">
        <v>40</v>
      </c>
      <c r="G376" s="10">
        <v>10</v>
      </c>
      <c r="H376" s="10">
        <v>15</v>
      </c>
      <c r="I376" s="10"/>
      <c r="J376" s="10"/>
      <c r="K376" s="6"/>
      <c r="L376" s="6"/>
      <c r="M376" s="6">
        <v>25</v>
      </c>
      <c r="N376" s="6"/>
      <c r="O376" s="6"/>
      <c r="P376" s="6"/>
      <c r="Q376" s="6"/>
      <c r="R376" s="6">
        <v>68</v>
      </c>
      <c r="S376" s="6"/>
      <c r="T376" s="6"/>
      <c r="U376" s="6"/>
      <c r="V376" s="6"/>
      <c r="W376" s="6"/>
      <c r="X376" s="6"/>
      <c r="Y376" s="6"/>
      <c r="Z376" s="6">
        <f>20+40</f>
        <v>60</v>
      </c>
      <c r="AA376" s="6"/>
      <c r="AB376" s="6">
        <f>SUM(E376:AA376)</f>
        <v>297</v>
      </c>
      <c r="AC376" s="6">
        <v>348</v>
      </c>
      <c r="AD376" s="9">
        <f>SUM(AB376:AC376)</f>
        <v>645</v>
      </c>
      <c r="AE376" s="8">
        <f>AB376/AD376</f>
        <v>0.46046511627906977</v>
      </c>
      <c r="AF376" s="6">
        <v>835</v>
      </c>
      <c r="AG376" s="6">
        <v>0</v>
      </c>
      <c r="AH376" s="6">
        <v>21</v>
      </c>
      <c r="AI376" s="9">
        <f>AH376+AG376+AF376</f>
        <v>856</v>
      </c>
      <c r="AJ376" s="8">
        <f>(AG376+AH376)/AI376</f>
        <v>2.4532710280373831E-2</v>
      </c>
      <c r="AK376" s="6">
        <f>SUM(E376:W376)</f>
        <v>237</v>
      </c>
    </row>
    <row r="377" spans="1:37" s="7" customFormat="1" ht="39" customHeight="1" x14ac:dyDescent="0.25">
      <c r="A377" s="13">
        <v>46160</v>
      </c>
      <c r="B377" s="21" t="s">
        <v>1</v>
      </c>
      <c r="C377" s="11" t="s">
        <v>8</v>
      </c>
      <c r="D377" s="11">
        <v>22</v>
      </c>
      <c r="E377" s="10">
        <v>15</v>
      </c>
      <c r="F377" s="10">
        <v>56</v>
      </c>
      <c r="G377" s="10">
        <v>25</v>
      </c>
      <c r="H377" s="10">
        <v>27</v>
      </c>
      <c r="I377" s="10">
        <v>9</v>
      </c>
      <c r="J377" s="10">
        <v>10</v>
      </c>
      <c r="K377" s="6"/>
      <c r="L377" s="6">
        <v>10</v>
      </c>
      <c r="M377" s="6"/>
      <c r="N377" s="6"/>
      <c r="O377" s="6">
        <v>22</v>
      </c>
      <c r="P377" s="6"/>
      <c r="Q377" s="6"/>
      <c r="R377" s="6">
        <f>15+25</f>
        <v>40</v>
      </c>
      <c r="S377" s="6"/>
      <c r="T377" s="6"/>
      <c r="U377" s="6"/>
      <c r="V377" s="6">
        <v>20</v>
      </c>
      <c r="W377" s="6"/>
      <c r="X377" s="6">
        <v>25</v>
      </c>
      <c r="Y377" s="6"/>
      <c r="Z377" s="6">
        <v>10</v>
      </c>
      <c r="AA377" s="6">
        <v>10</v>
      </c>
      <c r="AB377" s="6">
        <f>SUM(E377:AA377)</f>
        <v>279</v>
      </c>
      <c r="AC377" s="6">
        <v>217</v>
      </c>
      <c r="AD377" s="9">
        <f>SUM(AB377:AC377)</f>
        <v>496</v>
      </c>
      <c r="AE377" s="8">
        <f>AB377/AD377</f>
        <v>0.5625</v>
      </c>
      <c r="AF377" s="6">
        <v>1117</v>
      </c>
      <c r="AG377" s="6">
        <v>0</v>
      </c>
      <c r="AH377" s="14">
        <v>14</v>
      </c>
      <c r="AI377" s="9">
        <f>AH377+AG377+AF377</f>
        <v>1131</v>
      </c>
      <c r="AJ377" s="8">
        <f>(AG377+AH377)/AI377</f>
        <v>1.237842617152962E-2</v>
      </c>
      <c r="AK377" s="6">
        <f>SUM(E377:W377)</f>
        <v>234</v>
      </c>
    </row>
    <row r="378" spans="1:37" s="7" customFormat="1" ht="39" customHeight="1" x14ac:dyDescent="0.25">
      <c r="A378" s="13">
        <v>46160</v>
      </c>
      <c r="B378" s="21" t="s">
        <v>1</v>
      </c>
      <c r="C378" s="11" t="s">
        <v>7</v>
      </c>
      <c r="D378" s="11">
        <v>23</v>
      </c>
      <c r="E378" s="10">
        <f>2+4+32</f>
        <v>38</v>
      </c>
      <c r="F378" s="10">
        <v>37</v>
      </c>
      <c r="G378" s="10">
        <v>37</v>
      </c>
      <c r="H378" s="10"/>
      <c r="I378" s="10"/>
      <c r="J378" s="10"/>
      <c r="K378" s="6"/>
      <c r="L378" s="6"/>
      <c r="M378" s="6"/>
      <c r="N378" s="6"/>
      <c r="O378" s="6">
        <v>9</v>
      </c>
      <c r="P378" s="6"/>
      <c r="Q378" s="6"/>
      <c r="R378" s="6">
        <v>13</v>
      </c>
      <c r="S378" s="6"/>
      <c r="T378" s="6"/>
      <c r="U378" s="6"/>
      <c r="V378" s="6"/>
      <c r="W378" s="6"/>
      <c r="X378" s="6"/>
      <c r="Y378" s="6"/>
      <c r="Z378" s="6">
        <v>11</v>
      </c>
      <c r="AA378" s="6"/>
      <c r="AB378" s="6">
        <f>SUM(E378:AA378)</f>
        <v>145</v>
      </c>
      <c r="AC378" s="6">
        <v>76</v>
      </c>
      <c r="AD378" s="9">
        <f>SUM(AB378:AC378)</f>
        <v>221</v>
      </c>
      <c r="AE378" s="8">
        <f>AB378/AD378</f>
        <v>0.65610859728506787</v>
      </c>
      <c r="AF378" s="6">
        <v>312</v>
      </c>
      <c r="AG378" s="6">
        <v>0</v>
      </c>
      <c r="AH378" s="14">
        <v>5</v>
      </c>
      <c r="AI378" s="9">
        <f>AH378+AG378+AF378</f>
        <v>317</v>
      </c>
      <c r="AJ378" s="8">
        <f>(AG378+AH378)/AI378</f>
        <v>1.5772870662460567E-2</v>
      </c>
      <c r="AK378" s="6">
        <f>SUM(E378:W378)</f>
        <v>134</v>
      </c>
    </row>
    <row r="379" spans="1:37" s="7" customFormat="1" ht="39" customHeight="1" x14ac:dyDescent="0.25">
      <c r="A379" s="13">
        <v>46160</v>
      </c>
      <c r="B379" s="21" t="s">
        <v>1</v>
      </c>
      <c r="C379" s="11" t="s">
        <v>6</v>
      </c>
      <c r="D379" s="11">
        <v>24</v>
      </c>
      <c r="E379" s="10">
        <v>38</v>
      </c>
      <c r="F379" s="10">
        <v>15</v>
      </c>
      <c r="G379" s="10">
        <v>35</v>
      </c>
      <c r="H379" s="10">
        <f>21+26</f>
        <v>47</v>
      </c>
      <c r="I379" s="10"/>
      <c r="J379" s="10">
        <v>16</v>
      </c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>
        <v>30</v>
      </c>
      <c r="AA379" s="6"/>
      <c r="AB379" s="6">
        <f>SUM(E379:AA379)</f>
        <v>181</v>
      </c>
      <c r="AC379" s="6">
        <v>742</v>
      </c>
      <c r="AD379" s="9">
        <f>SUM(AB379:AC379)</f>
        <v>923</v>
      </c>
      <c r="AE379" s="8">
        <f>AB379/AD379</f>
        <v>0.19609967497291442</v>
      </c>
      <c r="AF379" s="14">
        <v>1025</v>
      </c>
      <c r="AG379" s="6">
        <v>10</v>
      </c>
      <c r="AH379" s="14">
        <v>6</v>
      </c>
      <c r="AI379" s="9">
        <f>AH379+AG379+AF379</f>
        <v>1041</v>
      </c>
      <c r="AJ379" s="8">
        <f>(AG379+AH379)/AI379</f>
        <v>1.536983669548511E-2</v>
      </c>
      <c r="AK379" s="6">
        <f>SUM(E379:W379)</f>
        <v>151</v>
      </c>
    </row>
    <row r="380" spans="1:37" s="7" customFormat="1" ht="39" customHeight="1" x14ac:dyDescent="0.25">
      <c r="A380" s="13">
        <v>46160</v>
      </c>
      <c r="B380" s="21" t="s">
        <v>5</v>
      </c>
      <c r="C380" s="11" t="s">
        <v>4</v>
      </c>
      <c r="D380" s="11">
        <v>25</v>
      </c>
      <c r="E380" s="10">
        <v>265</v>
      </c>
      <c r="F380" s="10">
        <v>285</v>
      </c>
      <c r="G380" s="10">
        <v>290</v>
      </c>
      <c r="H380" s="10">
        <v>150</v>
      </c>
      <c r="I380" s="10"/>
      <c r="J380" s="10">
        <v>480</v>
      </c>
      <c r="K380" s="6">
        <v>50</v>
      </c>
      <c r="L380" s="6"/>
      <c r="M380" s="6"/>
      <c r="N380" s="6">
        <v>30</v>
      </c>
      <c r="O380" s="6"/>
      <c r="P380" s="6"/>
      <c r="Q380" s="6"/>
      <c r="R380" s="6">
        <v>185</v>
      </c>
      <c r="S380" s="6"/>
      <c r="T380" s="6"/>
      <c r="U380" s="6"/>
      <c r="V380" s="6"/>
      <c r="W380" s="6"/>
      <c r="X380" s="6">
        <v>85</v>
      </c>
      <c r="Y380" s="6"/>
      <c r="Z380" s="6">
        <v>370</v>
      </c>
      <c r="AA380" s="6"/>
      <c r="AB380" s="6">
        <f>SUM(E380:AA380)</f>
        <v>2190</v>
      </c>
      <c r="AC380" s="6">
        <v>490</v>
      </c>
      <c r="AD380" s="9">
        <f>SUM(AB380:AC380)</f>
        <v>2680</v>
      </c>
      <c r="AE380" s="8">
        <f>AB380/AD380</f>
        <v>0.81716417910447758</v>
      </c>
      <c r="AF380" s="14">
        <v>430</v>
      </c>
      <c r="AG380" s="6">
        <v>21</v>
      </c>
      <c r="AH380" s="14">
        <v>5</v>
      </c>
      <c r="AI380" s="9">
        <f>AH380+AG380+AF380</f>
        <v>456</v>
      </c>
      <c r="AJ380" s="8">
        <f>(AG380+AH380)/AI380</f>
        <v>5.701754385964912E-2</v>
      </c>
      <c r="AK380" s="6">
        <f>SUM(E380:W380)</f>
        <v>1735</v>
      </c>
    </row>
    <row r="381" spans="1:37" s="7" customFormat="1" ht="39" customHeight="1" x14ac:dyDescent="0.25">
      <c r="A381" s="13">
        <v>46160</v>
      </c>
      <c r="B381" s="21" t="s">
        <v>1</v>
      </c>
      <c r="C381" s="11" t="s">
        <v>3</v>
      </c>
      <c r="D381" s="11">
        <v>26</v>
      </c>
      <c r="E381" s="10">
        <v>12</v>
      </c>
      <c r="F381" s="10">
        <v>5</v>
      </c>
      <c r="G381" s="10"/>
      <c r="H381" s="10"/>
      <c r="I381" s="10">
        <v>12</v>
      </c>
      <c r="J381" s="10">
        <v>14</v>
      </c>
      <c r="K381" s="6"/>
      <c r="L381" s="6"/>
      <c r="M381" s="6"/>
      <c r="N381" s="6"/>
      <c r="O381" s="6"/>
      <c r="P381" s="6"/>
      <c r="Q381" s="6"/>
      <c r="R381" s="6">
        <v>15</v>
      </c>
      <c r="S381" s="6"/>
      <c r="T381" s="6"/>
      <c r="U381" s="6"/>
      <c r="V381" s="6">
        <v>5</v>
      </c>
      <c r="W381" s="6"/>
      <c r="X381" s="6">
        <v>7</v>
      </c>
      <c r="Y381" s="6"/>
      <c r="Z381" s="6">
        <v>6</v>
      </c>
      <c r="AA381" s="6"/>
      <c r="AB381" s="6">
        <f>SUM(E381:AA381)</f>
        <v>76</v>
      </c>
      <c r="AC381" s="6">
        <v>4</v>
      </c>
      <c r="AD381" s="9">
        <f>SUM(AB381:AC381)</f>
        <v>80</v>
      </c>
      <c r="AE381" s="8">
        <f>AB381/AD381</f>
        <v>0.95</v>
      </c>
      <c r="AF381" s="6">
        <v>452</v>
      </c>
      <c r="AG381" s="6">
        <v>12</v>
      </c>
      <c r="AH381" s="6">
        <v>5</v>
      </c>
      <c r="AI381" s="9">
        <f>AH381+AG381+AF381</f>
        <v>469</v>
      </c>
      <c r="AJ381" s="8">
        <f>(AG381+AH381)/AI381</f>
        <v>3.6247334754797439E-2</v>
      </c>
      <c r="AK381" s="6">
        <f>SUM(E381:W381)</f>
        <v>63</v>
      </c>
    </row>
    <row r="382" spans="1:37" s="7" customFormat="1" ht="39" customHeight="1" x14ac:dyDescent="0.25">
      <c r="A382" s="13">
        <v>46160</v>
      </c>
      <c r="B382" s="21" t="s">
        <v>1</v>
      </c>
      <c r="C382" s="11" t="s">
        <v>2</v>
      </c>
      <c r="D382" s="11">
        <v>27</v>
      </c>
      <c r="E382" s="6">
        <v>114</v>
      </c>
      <c r="F382" s="10">
        <v>154</v>
      </c>
      <c r="G382" s="10">
        <v>12</v>
      </c>
      <c r="H382" s="10">
        <v>31</v>
      </c>
      <c r="I382" s="10">
        <v>11</v>
      </c>
      <c r="J382" s="10"/>
      <c r="K382" s="6"/>
      <c r="L382" s="6"/>
      <c r="M382" s="6"/>
      <c r="N382" s="6"/>
      <c r="O382" s="6"/>
      <c r="P382" s="6"/>
      <c r="Q382" s="6"/>
      <c r="R382" s="6">
        <v>44</v>
      </c>
      <c r="S382" s="6"/>
      <c r="T382" s="6"/>
      <c r="U382" s="6"/>
      <c r="V382" s="6"/>
      <c r="W382" s="6"/>
      <c r="X382" s="6"/>
      <c r="Y382" s="6"/>
      <c r="Z382" s="6">
        <v>48</v>
      </c>
      <c r="AA382" s="6"/>
      <c r="AB382" s="6">
        <f>SUM(E382:AA382)</f>
        <v>414</v>
      </c>
      <c r="AC382" s="6">
        <v>194</v>
      </c>
      <c r="AD382" s="9">
        <f>SUM(AB382:AC382)</f>
        <v>608</v>
      </c>
      <c r="AE382" s="8">
        <f>AB382/AD382</f>
        <v>0.68092105263157898</v>
      </c>
      <c r="AF382" s="14">
        <v>306</v>
      </c>
      <c r="AG382" s="6">
        <v>0</v>
      </c>
      <c r="AH382" s="14">
        <v>26</v>
      </c>
      <c r="AI382" s="9">
        <f>AH382+AG382+AF382</f>
        <v>332</v>
      </c>
      <c r="AJ382" s="8">
        <f>(AG382+AH382)/AI382</f>
        <v>7.8313253012048195E-2</v>
      </c>
      <c r="AK382" s="6">
        <f>SUM(E382:W382)</f>
        <v>366</v>
      </c>
    </row>
    <row r="383" spans="1:37" s="7" customFormat="1" ht="39" customHeight="1" x14ac:dyDescent="0.25">
      <c r="A383" s="13">
        <v>46160</v>
      </c>
      <c r="B383" s="21" t="s">
        <v>1</v>
      </c>
      <c r="C383" s="11" t="s">
        <v>0</v>
      </c>
      <c r="D383" s="11">
        <v>28</v>
      </c>
      <c r="E383" s="10">
        <v>15</v>
      </c>
      <c r="F383" s="10">
        <v>25</v>
      </c>
      <c r="G383" s="10"/>
      <c r="H383" s="10">
        <v>10</v>
      </c>
      <c r="I383" s="10">
        <v>10</v>
      </c>
      <c r="J383" s="10">
        <v>12</v>
      </c>
      <c r="K383" s="6"/>
      <c r="L383" s="6"/>
      <c r="M383" s="6"/>
      <c r="N383" s="6"/>
      <c r="O383" s="6"/>
      <c r="P383" s="6"/>
      <c r="Q383" s="6"/>
      <c r="R383" s="6">
        <v>8</v>
      </c>
      <c r="S383" s="6"/>
      <c r="T383" s="6"/>
      <c r="U383" s="6"/>
      <c r="V383" s="6"/>
      <c r="W383" s="6"/>
      <c r="X383" s="6"/>
      <c r="Y383" s="6"/>
      <c r="Z383" s="6">
        <v>20</v>
      </c>
      <c r="AA383" s="6"/>
      <c r="AB383" s="6">
        <f>SUM(E383:AA383)</f>
        <v>100</v>
      </c>
      <c r="AC383" s="6">
        <v>107</v>
      </c>
      <c r="AD383" s="9">
        <f>SUM(AB383:AC383)</f>
        <v>207</v>
      </c>
      <c r="AE383" s="8">
        <f>AB383/AD383</f>
        <v>0.48309178743961351</v>
      </c>
      <c r="AF383" s="6">
        <v>407</v>
      </c>
      <c r="AG383" s="6">
        <v>2</v>
      </c>
      <c r="AH383" s="6">
        <v>23</v>
      </c>
      <c r="AI383" s="9">
        <f>AH383+AG383+AF383</f>
        <v>432</v>
      </c>
      <c r="AJ383" s="8">
        <f>(AG383+AH383)/AI383</f>
        <v>5.7870370370370371E-2</v>
      </c>
      <c r="AK383" s="6">
        <f>SUM(E383:W383)</f>
        <v>80</v>
      </c>
    </row>
    <row r="384" spans="1:37" s="7" customFormat="1" ht="39" customHeight="1" x14ac:dyDescent="0.25">
      <c r="A384" s="13"/>
      <c r="B384" s="21"/>
      <c r="C384" s="11"/>
      <c r="D384" s="11"/>
      <c r="E384" s="6"/>
      <c r="F384" s="10"/>
      <c r="G384" s="10"/>
      <c r="H384" s="10"/>
      <c r="I384" s="10"/>
      <c r="J384" s="10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9"/>
      <c r="AE384" s="8"/>
      <c r="AF384" s="6"/>
      <c r="AG384" s="6"/>
      <c r="AH384" s="6"/>
      <c r="AI384" s="9"/>
      <c r="AJ384" s="8"/>
      <c r="AK384" s="6"/>
    </row>
    <row r="385" spans="1:37" s="7" customFormat="1" ht="39" customHeight="1" x14ac:dyDescent="0.25">
      <c r="A385" s="13"/>
      <c r="B385" s="12"/>
      <c r="C385" s="11"/>
      <c r="D385" s="21"/>
      <c r="E385" s="10"/>
      <c r="F385" s="10"/>
      <c r="G385" s="10"/>
      <c r="H385" s="10"/>
      <c r="I385" s="10"/>
      <c r="J385" s="10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9"/>
      <c r="AE385" s="8"/>
      <c r="AF385" s="14"/>
      <c r="AG385" s="6"/>
      <c r="AH385" s="14"/>
      <c r="AI385" s="9"/>
      <c r="AJ385" s="8"/>
      <c r="AK385" s="6"/>
    </row>
    <row r="386" spans="1:37" s="7" customFormat="1" ht="39" customHeight="1" x14ac:dyDescent="0.25">
      <c r="A386" s="13"/>
      <c r="B386" s="21"/>
      <c r="C386" s="11"/>
      <c r="D386" s="11"/>
      <c r="E386" s="10"/>
      <c r="F386" s="10"/>
      <c r="G386" s="10"/>
      <c r="H386" s="10"/>
      <c r="I386" s="10"/>
      <c r="J386" s="10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9"/>
      <c r="AE386" s="8"/>
      <c r="AF386" s="6"/>
      <c r="AG386" s="6"/>
      <c r="AH386" s="6"/>
      <c r="AI386" s="9"/>
      <c r="AJ386" s="8"/>
      <c r="AK386" s="6"/>
    </row>
    <row r="387" spans="1:37" s="7" customFormat="1" ht="39" customHeight="1" x14ac:dyDescent="0.25">
      <c r="A387" s="13"/>
      <c r="B387" s="12"/>
      <c r="C387" s="11"/>
      <c r="D387" s="11"/>
      <c r="E387" s="10"/>
      <c r="F387" s="10"/>
      <c r="G387" s="10"/>
      <c r="H387" s="10"/>
      <c r="I387" s="10"/>
      <c r="J387" s="10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9"/>
      <c r="AE387" s="8"/>
      <c r="AF387" s="6"/>
      <c r="AG387" s="6"/>
      <c r="AH387" s="6"/>
      <c r="AI387" s="9"/>
      <c r="AJ387" s="8"/>
      <c r="AK387" s="6"/>
    </row>
    <row r="388" spans="1:37" s="7" customFormat="1" ht="39" customHeight="1" x14ac:dyDescent="0.25">
      <c r="A388" s="13"/>
      <c r="B388" s="12"/>
      <c r="C388" s="11"/>
      <c r="D388" s="11"/>
      <c r="E388" s="10"/>
      <c r="F388" s="10"/>
      <c r="G388" s="10"/>
      <c r="H388" s="10"/>
      <c r="I388" s="10"/>
      <c r="J388" s="10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9"/>
      <c r="AE388" s="8"/>
      <c r="AF388" s="6"/>
      <c r="AG388" s="6"/>
      <c r="AH388" s="6"/>
      <c r="AI388" s="9"/>
      <c r="AJ388" s="8"/>
      <c r="AK388" s="6"/>
    </row>
    <row r="389" spans="1:37" s="7" customFormat="1" ht="39" customHeight="1" x14ac:dyDescent="0.25">
      <c r="A389" s="13"/>
      <c r="B389" s="12"/>
      <c r="C389" s="11"/>
      <c r="D389" s="11"/>
      <c r="E389" s="10"/>
      <c r="F389" s="10"/>
      <c r="G389" s="10"/>
      <c r="H389" s="10"/>
      <c r="I389" s="10"/>
      <c r="J389" s="10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9"/>
      <c r="AE389" s="8"/>
      <c r="AF389" s="14"/>
      <c r="AG389" s="6"/>
      <c r="AH389" s="14"/>
      <c r="AI389" s="9"/>
      <c r="AJ389" s="8"/>
      <c r="AK389" s="6"/>
    </row>
    <row r="390" spans="1:37" s="7" customFormat="1" ht="39" customHeight="1" x14ac:dyDescent="0.25">
      <c r="A390" s="13"/>
      <c r="B390" s="21"/>
      <c r="C390" s="11"/>
      <c r="D390" s="11"/>
      <c r="E390" s="10"/>
      <c r="F390" s="10"/>
      <c r="G390" s="10"/>
      <c r="H390" s="10"/>
      <c r="I390" s="10"/>
      <c r="J390" s="10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9"/>
      <c r="AE390" s="8"/>
      <c r="AF390" s="6"/>
      <c r="AG390" s="6"/>
      <c r="AH390" s="6"/>
      <c r="AI390" s="9"/>
      <c r="AJ390" s="8"/>
      <c r="AK390" s="6"/>
    </row>
    <row r="391" spans="1:37" s="7" customFormat="1" ht="39" customHeight="1" x14ac:dyDescent="0.25">
      <c r="A391" s="13"/>
      <c r="B391" s="12"/>
      <c r="C391" s="11"/>
      <c r="D391" s="11"/>
      <c r="E391" s="10"/>
      <c r="F391" s="10"/>
      <c r="G391" s="10"/>
      <c r="H391" s="10"/>
      <c r="I391" s="10"/>
      <c r="J391" s="10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9"/>
      <c r="AE391" s="8"/>
      <c r="AF391" s="14"/>
      <c r="AG391" s="6"/>
      <c r="AH391" s="14"/>
      <c r="AI391" s="9"/>
      <c r="AJ391" s="8"/>
      <c r="AK391" s="6"/>
    </row>
    <row r="392" spans="1:37" s="7" customFormat="1" ht="39" customHeight="1" x14ac:dyDescent="0.25">
      <c r="A392" s="13"/>
      <c r="B392" s="12"/>
      <c r="C392" s="11"/>
      <c r="D392" s="11"/>
      <c r="E392" s="6"/>
      <c r="F392" s="10"/>
      <c r="G392" s="10"/>
      <c r="H392" s="10"/>
      <c r="I392" s="10"/>
      <c r="J392" s="10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9"/>
      <c r="AE392" s="8"/>
      <c r="AF392" s="6"/>
      <c r="AG392" s="6"/>
      <c r="AH392" s="6"/>
      <c r="AI392" s="9"/>
      <c r="AJ392" s="8"/>
      <c r="AK392" s="6"/>
    </row>
    <row r="393" spans="1:37" s="7" customFormat="1" ht="39" customHeight="1" x14ac:dyDescent="0.25">
      <c r="A393" s="13"/>
      <c r="B393" s="21"/>
      <c r="C393" s="11"/>
      <c r="D393" s="11"/>
      <c r="E393" s="10"/>
      <c r="F393" s="10"/>
      <c r="G393" s="10"/>
      <c r="H393" s="10"/>
      <c r="I393" s="10"/>
      <c r="J393" s="10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9"/>
      <c r="AE393" s="8"/>
      <c r="AF393" s="6"/>
      <c r="AG393" s="6"/>
      <c r="AH393" s="6"/>
      <c r="AI393" s="9"/>
      <c r="AJ393" s="8"/>
      <c r="AK393" s="6"/>
    </row>
    <row r="394" spans="1:37" s="7" customFormat="1" ht="39" customHeight="1" x14ac:dyDescent="0.25">
      <c r="A394" s="13"/>
      <c r="B394" s="21"/>
      <c r="C394" s="11"/>
      <c r="D394" s="11"/>
      <c r="E394" s="10"/>
      <c r="F394" s="10"/>
      <c r="G394" s="10"/>
      <c r="H394" s="10"/>
      <c r="I394" s="10"/>
      <c r="J394" s="10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9"/>
      <c r="AE394" s="8"/>
      <c r="AF394" s="6"/>
      <c r="AG394" s="6"/>
      <c r="AH394" s="6"/>
      <c r="AI394" s="9"/>
      <c r="AJ394" s="8"/>
      <c r="AK394" s="6"/>
    </row>
    <row r="395" spans="1:37" s="7" customFormat="1" ht="39" customHeight="1" x14ac:dyDescent="0.25">
      <c r="A395" s="13"/>
      <c r="B395" s="12"/>
      <c r="C395" s="11"/>
      <c r="D395" s="11"/>
      <c r="E395" s="10"/>
      <c r="F395" s="10"/>
      <c r="G395" s="10"/>
      <c r="H395" s="10"/>
      <c r="I395" s="10"/>
      <c r="J395" s="10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9"/>
      <c r="AE395" s="8"/>
      <c r="AF395" s="14"/>
      <c r="AG395" s="6"/>
      <c r="AH395" s="14"/>
      <c r="AI395" s="9"/>
      <c r="AJ395" s="8"/>
      <c r="AK395" s="6"/>
    </row>
    <row r="396" spans="1:37" s="7" customFormat="1" ht="39" customHeight="1" x14ac:dyDescent="0.25">
      <c r="A396" s="13"/>
      <c r="B396" s="21"/>
      <c r="C396" s="11"/>
      <c r="D396" s="11"/>
      <c r="E396" s="10"/>
      <c r="F396" s="10"/>
      <c r="G396" s="10"/>
      <c r="H396" s="10"/>
      <c r="I396" s="10"/>
      <c r="J396" s="10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9"/>
      <c r="AE396" s="8"/>
      <c r="AF396" s="14"/>
      <c r="AG396" s="6"/>
      <c r="AH396" s="14"/>
      <c r="AI396" s="9"/>
      <c r="AJ396" s="8"/>
      <c r="AK396" s="6"/>
    </row>
    <row r="397" spans="1:37" s="7" customFormat="1" ht="39" customHeight="1" x14ac:dyDescent="0.25">
      <c r="A397" s="13"/>
      <c r="B397" s="21"/>
      <c r="C397" s="11"/>
      <c r="D397" s="11"/>
      <c r="E397" s="10"/>
      <c r="F397" s="10"/>
      <c r="G397" s="10"/>
      <c r="H397" s="10"/>
      <c r="I397" s="10"/>
      <c r="J397" s="10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9"/>
      <c r="AE397" s="8"/>
      <c r="AF397" s="6"/>
      <c r="AG397" s="6"/>
      <c r="AH397" s="6"/>
      <c r="AI397" s="9"/>
      <c r="AJ397" s="8"/>
      <c r="AK397" s="6"/>
    </row>
    <row r="398" spans="1:37" s="7" customFormat="1" ht="33.75" customHeight="1" x14ac:dyDescent="0.25">
      <c r="A398" s="20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5"/>
      <c r="M398" s="19"/>
      <c r="N398" s="19"/>
      <c r="O398" s="19"/>
      <c r="P398" s="19"/>
      <c r="Q398" s="19"/>
      <c r="R398" s="15"/>
      <c r="S398" s="15"/>
      <c r="T398" s="15"/>
      <c r="U398" s="19"/>
      <c r="V398" s="19"/>
      <c r="W398" s="15"/>
      <c r="X398" s="15"/>
      <c r="Y398" s="15"/>
      <c r="Z398" s="15"/>
      <c r="AA398" s="15"/>
      <c r="AB398" s="15"/>
      <c r="AC398" s="18"/>
      <c r="AD398" s="17"/>
      <c r="AE398" s="16"/>
      <c r="AF398" s="15"/>
      <c r="AG398" s="15"/>
      <c r="AH398" s="15"/>
      <c r="AI398" s="17"/>
      <c r="AJ398" s="16"/>
      <c r="AK398" s="15"/>
    </row>
    <row r="399" spans="1:37" s="7" customFormat="1" ht="39" customHeight="1" x14ac:dyDescent="0.25">
      <c r="A399" s="13"/>
      <c r="B399" s="21"/>
      <c r="C399" s="11"/>
      <c r="D399" s="11"/>
      <c r="E399" s="10"/>
      <c r="F399" s="10"/>
      <c r="G399" s="10"/>
      <c r="H399" s="10"/>
      <c r="I399" s="10"/>
      <c r="J399" s="10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9"/>
      <c r="AE399" s="8"/>
      <c r="AF399" s="6"/>
      <c r="AG399" s="6"/>
      <c r="AH399" s="6"/>
      <c r="AI399" s="9"/>
      <c r="AJ399" s="8"/>
      <c r="AK399" s="6"/>
    </row>
    <row r="400" spans="1:37" s="7" customFormat="1" ht="39" customHeight="1" x14ac:dyDescent="0.25">
      <c r="A400" s="13"/>
      <c r="B400" s="21"/>
      <c r="C400" s="11"/>
      <c r="D400" s="11"/>
      <c r="E400" s="10"/>
      <c r="F400" s="10"/>
      <c r="G400" s="10"/>
      <c r="H400" s="10"/>
      <c r="I400" s="10"/>
      <c r="J400" s="10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9"/>
      <c r="AE400" s="8"/>
      <c r="AF400" s="14"/>
      <c r="AG400" s="6"/>
      <c r="AH400" s="14"/>
      <c r="AI400" s="9"/>
      <c r="AJ400" s="8"/>
      <c r="AK400" s="6"/>
    </row>
    <row r="401" spans="1:37" s="7" customFormat="1" ht="39" customHeight="1" x14ac:dyDescent="0.25">
      <c r="A401" s="13"/>
      <c r="B401" s="21"/>
      <c r="C401" s="11"/>
      <c r="D401" s="11"/>
      <c r="E401" s="10"/>
      <c r="F401" s="10"/>
      <c r="G401" s="10"/>
      <c r="H401" s="10"/>
      <c r="I401" s="10"/>
      <c r="J401" s="10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9"/>
      <c r="AE401" s="8"/>
      <c r="AF401" s="6"/>
      <c r="AG401" s="6"/>
      <c r="AH401" s="6"/>
      <c r="AI401" s="9"/>
      <c r="AJ401" s="8"/>
      <c r="AK401" s="6"/>
    </row>
    <row r="402" spans="1:37" s="7" customFormat="1" ht="39" customHeight="1" x14ac:dyDescent="0.25">
      <c r="A402" s="13"/>
      <c r="B402" s="21"/>
      <c r="C402" s="11"/>
      <c r="D402" s="11"/>
      <c r="E402" s="10"/>
      <c r="F402" s="10"/>
      <c r="G402" s="10"/>
      <c r="H402" s="10"/>
      <c r="I402" s="10"/>
      <c r="J402" s="10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9"/>
      <c r="AE402" s="8"/>
      <c r="AF402" s="6"/>
      <c r="AG402" s="6"/>
      <c r="AH402" s="6"/>
      <c r="AI402" s="9"/>
      <c r="AJ402" s="8"/>
      <c r="AK402" s="6"/>
    </row>
    <row r="403" spans="1:37" s="7" customFormat="1" ht="39" customHeight="1" x14ac:dyDescent="0.25">
      <c r="A403" s="13"/>
      <c r="B403" s="21"/>
      <c r="C403" s="11"/>
      <c r="D403" s="11"/>
      <c r="E403" s="10"/>
      <c r="F403" s="10"/>
      <c r="G403" s="10"/>
      <c r="H403" s="10"/>
      <c r="I403" s="10"/>
      <c r="J403" s="10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9"/>
      <c r="AE403" s="8"/>
      <c r="AF403" s="6"/>
      <c r="AG403" s="6"/>
      <c r="AH403" s="14"/>
      <c r="AI403" s="9"/>
      <c r="AJ403" s="8"/>
      <c r="AK403" s="6"/>
    </row>
    <row r="404" spans="1:37" s="7" customFormat="1" ht="39" customHeight="1" x14ac:dyDescent="0.25">
      <c r="A404" s="13"/>
      <c r="B404" s="21"/>
      <c r="C404" s="11"/>
      <c r="D404" s="11"/>
      <c r="E404" s="10"/>
      <c r="F404" s="10"/>
      <c r="G404" s="10"/>
      <c r="H404" s="10"/>
      <c r="I404" s="10"/>
      <c r="J404" s="10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9"/>
      <c r="AE404" s="8"/>
      <c r="AF404" s="6"/>
      <c r="AG404" s="6"/>
      <c r="AH404" s="14"/>
      <c r="AI404" s="9"/>
      <c r="AJ404" s="8"/>
      <c r="AK404" s="6"/>
    </row>
    <row r="405" spans="1:37" s="7" customFormat="1" ht="39" customHeight="1" x14ac:dyDescent="0.25">
      <c r="A405" s="13"/>
      <c r="B405" s="21"/>
      <c r="C405" s="11"/>
      <c r="D405" s="11"/>
      <c r="E405" s="10"/>
      <c r="F405" s="10"/>
      <c r="G405" s="10"/>
      <c r="H405" s="10"/>
      <c r="I405" s="10"/>
      <c r="J405" s="10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9"/>
      <c r="AE405" s="8"/>
      <c r="AF405" s="14"/>
      <c r="AG405" s="6"/>
      <c r="AH405" s="14"/>
      <c r="AI405" s="9"/>
      <c r="AJ405" s="8"/>
      <c r="AK405" s="6"/>
    </row>
    <row r="406" spans="1:37" s="7" customFormat="1" ht="39" customHeight="1" x14ac:dyDescent="0.25">
      <c r="A406" s="13"/>
      <c r="B406" s="21"/>
      <c r="C406" s="11"/>
      <c r="D406" s="11"/>
      <c r="E406" s="10"/>
      <c r="F406" s="10"/>
      <c r="G406" s="10"/>
      <c r="H406" s="10"/>
      <c r="I406" s="10"/>
      <c r="J406" s="10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9"/>
      <c r="AE406" s="8"/>
      <c r="AF406" s="14"/>
      <c r="AG406" s="6"/>
      <c r="AH406" s="14"/>
      <c r="AI406" s="9"/>
      <c r="AJ406" s="8"/>
      <c r="AK406" s="6"/>
    </row>
    <row r="407" spans="1:37" s="7" customFormat="1" ht="39" customHeight="1" x14ac:dyDescent="0.25">
      <c r="A407" s="13"/>
      <c r="B407" s="21"/>
      <c r="C407" s="11"/>
      <c r="D407" s="11"/>
      <c r="E407" s="10"/>
      <c r="F407" s="10"/>
      <c r="G407" s="10"/>
      <c r="H407" s="10"/>
      <c r="I407" s="10"/>
      <c r="J407" s="10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9"/>
      <c r="AE407" s="8"/>
      <c r="AF407" s="6"/>
      <c r="AG407" s="6"/>
      <c r="AH407" s="6"/>
      <c r="AI407" s="9"/>
      <c r="AJ407" s="8"/>
      <c r="AK407" s="6"/>
    </row>
    <row r="408" spans="1:37" s="7" customFormat="1" ht="39" customHeight="1" x14ac:dyDescent="0.25">
      <c r="A408" s="13"/>
      <c r="B408" s="21"/>
      <c r="C408" s="11"/>
      <c r="D408" s="11"/>
      <c r="E408" s="6"/>
      <c r="F408" s="10"/>
      <c r="G408" s="10"/>
      <c r="H408" s="10"/>
      <c r="I408" s="10"/>
      <c r="J408" s="10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9"/>
      <c r="AE408" s="8"/>
      <c r="AF408" s="14"/>
      <c r="AG408" s="6"/>
      <c r="AH408" s="14"/>
      <c r="AI408" s="9"/>
      <c r="AJ408" s="8"/>
      <c r="AK408" s="6"/>
    </row>
    <row r="409" spans="1:37" s="7" customFormat="1" ht="39" customHeight="1" x14ac:dyDescent="0.25">
      <c r="A409" s="13"/>
      <c r="B409" s="21"/>
      <c r="C409" s="11"/>
      <c r="D409" s="11"/>
      <c r="E409" s="10"/>
      <c r="F409" s="10"/>
      <c r="G409" s="10"/>
      <c r="H409" s="10"/>
      <c r="I409" s="10"/>
      <c r="J409" s="10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9"/>
      <c r="AE409" s="8"/>
      <c r="AF409" s="6"/>
      <c r="AG409" s="6"/>
      <c r="AH409" s="6"/>
      <c r="AI409" s="9"/>
      <c r="AJ409" s="8"/>
      <c r="AK409" s="6"/>
    </row>
    <row r="410" spans="1:37" s="7" customFormat="1" ht="39" customHeight="1" x14ac:dyDescent="0.25">
      <c r="A410" s="13"/>
      <c r="B410" s="21"/>
      <c r="C410" s="11"/>
      <c r="D410" s="11"/>
      <c r="E410" s="6"/>
      <c r="F410" s="10"/>
      <c r="G410" s="10"/>
      <c r="H410" s="10"/>
      <c r="I410" s="10"/>
      <c r="J410" s="10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9"/>
      <c r="AE410" s="8"/>
      <c r="AF410" s="14"/>
      <c r="AG410" s="6"/>
      <c r="AH410" s="14"/>
      <c r="AI410" s="9"/>
      <c r="AJ410" s="8"/>
      <c r="AK410" s="6"/>
    </row>
    <row r="411" spans="1:37" s="7" customFormat="1" ht="39" customHeight="1" x14ac:dyDescent="0.25">
      <c r="A411" s="13"/>
      <c r="B411" s="21"/>
      <c r="C411" s="11"/>
      <c r="D411" s="11"/>
      <c r="E411" s="6"/>
      <c r="F411" s="10"/>
      <c r="G411" s="10"/>
      <c r="H411" s="10"/>
      <c r="I411" s="10"/>
      <c r="J411" s="10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9"/>
      <c r="AE411" s="8"/>
      <c r="AF411" s="6"/>
      <c r="AG411" s="6"/>
      <c r="AH411" s="6"/>
      <c r="AI411" s="9"/>
      <c r="AJ411" s="8"/>
      <c r="AK411" s="6"/>
    </row>
    <row r="412" spans="1:37" s="7" customFormat="1" ht="39" customHeight="1" x14ac:dyDescent="0.25">
      <c r="A412" s="13"/>
      <c r="B412" s="12"/>
      <c r="C412" s="11"/>
      <c r="D412" s="21"/>
      <c r="E412" s="10"/>
      <c r="F412" s="10"/>
      <c r="G412" s="10"/>
      <c r="H412" s="10"/>
      <c r="I412" s="10"/>
      <c r="J412" s="10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9"/>
      <c r="AE412" s="8"/>
      <c r="AF412" s="14"/>
      <c r="AG412" s="6"/>
      <c r="AH412" s="14"/>
      <c r="AI412" s="9"/>
      <c r="AJ412" s="8"/>
      <c r="AK412" s="6"/>
    </row>
    <row r="413" spans="1:37" s="7" customFormat="1" ht="39" customHeight="1" x14ac:dyDescent="0.25">
      <c r="A413" s="13"/>
      <c r="B413" s="21"/>
      <c r="C413" s="11"/>
      <c r="D413" s="11"/>
      <c r="E413" s="10"/>
      <c r="F413" s="10"/>
      <c r="G413" s="10"/>
      <c r="H413" s="10"/>
      <c r="I413" s="10"/>
      <c r="J413" s="10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9"/>
      <c r="AE413" s="8"/>
      <c r="AF413" s="6"/>
      <c r="AG413" s="6"/>
      <c r="AH413" s="6"/>
      <c r="AI413" s="9"/>
      <c r="AJ413" s="8"/>
      <c r="AK413" s="6"/>
    </row>
    <row r="414" spans="1:37" s="7" customFormat="1" ht="39" customHeight="1" x14ac:dyDescent="0.25">
      <c r="A414" s="13"/>
      <c r="B414" s="12"/>
      <c r="C414" s="11"/>
      <c r="D414" s="11"/>
      <c r="E414" s="10"/>
      <c r="F414" s="10"/>
      <c r="G414" s="10"/>
      <c r="H414" s="10"/>
      <c r="I414" s="10"/>
      <c r="J414" s="10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9"/>
      <c r="AE414" s="8"/>
      <c r="AF414" s="6"/>
      <c r="AG414" s="6"/>
      <c r="AH414" s="6"/>
      <c r="AI414" s="9"/>
      <c r="AJ414" s="8"/>
      <c r="AK414" s="6"/>
    </row>
    <row r="415" spans="1:37" s="7" customFormat="1" ht="39" customHeight="1" x14ac:dyDescent="0.25">
      <c r="A415" s="13"/>
      <c r="B415" s="12"/>
      <c r="C415" s="11"/>
      <c r="D415" s="11"/>
      <c r="E415" s="10"/>
      <c r="F415" s="10"/>
      <c r="G415" s="10"/>
      <c r="H415" s="10"/>
      <c r="I415" s="10"/>
      <c r="J415" s="10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9"/>
      <c r="AE415" s="8"/>
      <c r="AF415" s="14"/>
      <c r="AG415" s="6"/>
      <c r="AH415" s="14"/>
      <c r="AI415" s="9"/>
      <c r="AJ415" s="8"/>
      <c r="AK415" s="6"/>
    </row>
    <row r="416" spans="1:37" s="7" customFormat="1" ht="39" customHeight="1" x14ac:dyDescent="0.25">
      <c r="A416" s="13"/>
      <c r="B416" s="12"/>
      <c r="C416" s="11"/>
      <c r="D416" s="11"/>
      <c r="E416" s="10"/>
      <c r="F416" s="10"/>
      <c r="G416" s="10"/>
      <c r="H416" s="10"/>
      <c r="I416" s="10"/>
      <c r="J416" s="10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9"/>
      <c r="AE416" s="8"/>
      <c r="AF416" s="6"/>
      <c r="AG416" s="6"/>
      <c r="AH416" s="6"/>
      <c r="AI416" s="9"/>
      <c r="AJ416" s="8"/>
      <c r="AK416" s="6"/>
    </row>
    <row r="417" spans="1:37" s="7" customFormat="1" ht="39" customHeight="1" x14ac:dyDescent="0.25">
      <c r="A417" s="13"/>
      <c r="B417" s="21"/>
      <c r="C417" s="11"/>
      <c r="D417" s="11"/>
      <c r="E417" s="10"/>
      <c r="F417" s="10"/>
      <c r="G417" s="10"/>
      <c r="H417" s="10"/>
      <c r="I417" s="10"/>
      <c r="J417" s="10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9"/>
      <c r="AE417" s="8"/>
      <c r="AF417" s="14"/>
      <c r="AG417" s="6"/>
      <c r="AH417" s="14"/>
      <c r="AI417" s="9"/>
      <c r="AJ417" s="8"/>
      <c r="AK417" s="6"/>
    </row>
    <row r="418" spans="1:37" s="7" customFormat="1" ht="39" customHeight="1" x14ac:dyDescent="0.25">
      <c r="A418" s="13"/>
      <c r="B418" s="12"/>
      <c r="C418" s="11"/>
      <c r="D418" s="11"/>
      <c r="E418" s="6"/>
      <c r="F418" s="10"/>
      <c r="G418" s="10"/>
      <c r="H418" s="10"/>
      <c r="I418" s="10"/>
      <c r="J418" s="10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9"/>
      <c r="AE418" s="8"/>
      <c r="AF418" s="6"/>
      <c r="AG418" s="6"/>
      <c r="AH418" s="6"/>
      <c r="AI418" s="9"/>
      <c r="AJ418" s="8"/>
      <c r="AK418" s="6"/>
    </row>
    <row r="419" spans="1:37" s="7" customFormat="1" ht="39" customHeight="1" x14ac:dyDescent="0.25">
      <c r="A419" s="13"/>
      <c r="B419" s="12"/>
      <c r="C419" s="11"/>
      <c r="D419" s="11"/>
      <c r="E419" s="10"/>
      <c r="F419" s="10"/>
      <c r="G419" s="10"/>
      <c r="H419" s="10"/>
      <c r="I419" s="10"/>
      <c r="J419" s="10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9"/>
      <c r="AE419" s="8"/>
      <c r="AF419" s="6"/>
      <c r="AG419" s="6"/>
      <c r="AH419" s="6"/>
      <c r="AI419" s="9"/>
      <c r="AJ419" s="8"/>
      <c r="AK419" s="6"/>
    </row>
    <row r="420" spans="1:37" s="7" customFormat="1" ht="39" customHeight="1" x14ac:dyDescent="0.25">
      <c r="A420" s="13"/>
      <c r="B420" s="21"/>
      <c r="C420" s="11"/>
      <c r="D420" s="11"/>
      <c r="E420" s="10"/>
      <c r="F420" s="10"/>
      <c r="G420" s="10"/>
      <c r="H420" s="10"/>
      <c r="I420" s="10"/>
      <c r="J420" s="10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9"/>
      <c r="AE420" s="8"/>
      <c r="AF420" s="6"/>
      <c r="AG420" s="6"/>
      <c r="AH420" s="6"/>
      <c r="AI420" s="9"/>
      <c r="AJ420" s="8"/>
      <c r="AK420" s="6"/>
    </row>
    <row r="421" spans="1:37" s="7" customFormat="1" ht="39" customHeight="1" x14ac:dyDescent="0.25">
      <c r="A421" s="13"/>
      <c r="B421" s="21"/>
      <c r="C421" s="11"/>
      <c r="D421" s="11"/>
      <c r="E421" s="10"/>
      <c r="F421" s="10"/>
      <c r="G421" s="10"/>
      <c r="H421" s="10"/>
      <c r="I421" s="10"/>
      <c r="J421" s="10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9"/>
      <c r="AE421" s="8"/>
      <c r="AF421" s="14"/>
      <c r="AG421" s="6"/>
      <c r="AH421" s="14"/>
      <c r="AI421" s="9"/>
      <c r="AJ421" s="8"/>
      <c r="AK421" s="6"/>
    </row>
    <row r="422" spans="1:37" s="7" customFormat="1" ht="39" customHeight="1" x14ac:dyDescent="0.25">
      <c r="A422" s="13"/>
      <c r="B422" s="12"/>
      <c r="C422" s="11"/>
      <c r="D422" s="11"/>
      <c r="E422" s="10"/>
      <c r="F422" s="10"/>
      <c r="G422" s="10"/>
      <c r="H422" s="10"/>
      <c r="I422" s="10"/>
      <c r="J422" s="10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9"/>
      <c r="AE422" s="8"/>
      <c r="AF422" s="14"/>
      <c r="AG422" s="6"/>
      <c r="AH422" s="14"/>
      <c r="AI422" s="9"/>
      <c r="AJ422" s="8"/>
      <c r="AK422" s="6"/>
    </row>
    <row r="423" spans="1:37" s="7" customFormat="1" ht="39" customHeight="1" x14ac:dyDescent="0.25">
      <c r="A423" s="13"/>
      <c r="B423" s="21"/>
      <c r="C423" s="11"/>
      <c r="D423" s="11"/>
      <c r="E423" s="10"/>
      <c r="F423" s="10"/>
      <c r="G423" s="10"/>
      <c r="H423" s="10"/>
      <c r="I423" s="10"/>
      <c r="J423" s="10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9"/>
      <c r="AE423" s="8"/>
      <c r="AF423" s="6"/>
      <c r="AG423" s="6"/>
      <c r="AH423" s="6"/>
      <c r="AI423" s="9"/>
      <c r="AJ423" s="8"/>
      <c r="AK423" s="6"/>
    </row>
    <row r="424" spans="1:37" s="7" customFormat="1" ht="39" customHeight="1" x14ac:dyDescent="0.25">
      <c r="A424" s="13"/>
      <c r="B424" s="21"/>
      <c r="C424" s="11"/>
      <c r="D424" s="11"/>
      <c r="E424" s="21"/>
      <c r="F424" s="21"/>
      <c r="G424" s="21"/>
      <c r="H424" s="21"/>
      <c r="I424" s="21"/>
      <c r="J424" s="21"/>
      <c r="K424" s="21"/>
      <c r="L424" s="6"/>
      <c r="M424" s="21"/>
      <c r="N424" s="21"/>
      <c r="O424" s="21"/>
      <c r="P424" s="21"/>
      <c r="Q424" s="21"/>
      <c r="R424" s="6"/>
      <c r="S424" s="6"/>
      <c r="T424" s="6"/>
      <c r="U424" s="21"/>
      <c r="V424" s="21"/>
      <c r="W424" s="6"/>
      <c r="X424" s="6"/>
      <c r="Y424" s="6"/>
      <c r="Z424" s="6"/>
      <c r="AA424" s="6"/>
      <c r="AB424" s="6"/>
      <c r="AC424" s="22"/>
      <c r="AD424" s="9"/>
      <c r="AE424" s="8"/>
      <c r="AF424" s="6"/>
      <c r="AG424" s="6"/>
      <c r="AH424" s="6"/>
      <c r="AI424" s="9"/>
      <c r="AJ424" s="8"/>
      <c r="AK424" s="6"/>
    </row>
    <row r="425" spans="1:37" s="7" customFormat="1" ht="39" customHeight="1" x14ac:dyDescent="0.25">
      <c r="A425" s="20"/>
      <c r="B425" s="19"/>
      <c r="C425" s="19"/>
      <c r="D425" s="19"/>
      <c r="E425" s="24"/>
      <c r="F425" s="24"/>
      <c r="G425" s="24"/>
      <c r="H425" s="24"/>
      <c r="I425" s="24"/>
      <c r="J425" s="24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7"/>
      <c r="AE425" s="16"/>
      <c r="AF425" s="15"/>
      <c r="AG425" s="15"/>
      <c r="AH425" s="15"/>
      <c r="AI425" s="17"/>
      <c r="AJ425" s="16"/>
      <c r="AK425" s="15"/>
    </row>
    <row r="426" spans="1:37" s="7" customFormat="1" ht="39" customHeight="1" x14ac:dyDescent="0.25">
      <c r="A426" s="13"/>
      <c r="B426" s="21"/>
      <c r="C426" s="11"/>
      <c r="D426" s="11"/>
      <c r="E426" s="10"/>
      <c r="F426" s="10"/>
      <c r="G426" s="10"/>
      <c r="H426" s="10"/>
      <c r="I426" s="10"/>
      <c r="J426" s="10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9"/>
      <c r="AE426" s="8"/>
      <c r="AF426" s="14"/>
      <c r="AG426" s="6"/>
      <c r="AH426" s="14"/>
      <c r="AI426" s="9"/>
      <c r="AJ426" s="8"/>
      <c r="AK426" s="6"/>
    </row>
    <row r="427" spans="1:37" s="7" customFormat="1" ht="39" customHeight="1" x14ac:dyDescent="0.25">
      <c r="A427" s="13"/>
      <c r="B427" s="21"/>
      <c r="C427" s="11"/>
      <c r="D427" s="11"/>
      <c r="E427" s="10"/>
      <c r="F427" s="10"/>
      <c r="G427" s="10"/>
      <c r="H427" s="10"/>
      <c r="I427" s="10"/>
      <c r="J427" s="10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9"/>
      <c r="AE427" s="8"/>
      <c r="AF427" s="6"/>
      <c r="AG427" s="6"/>
      <c r="AH427" s="6"/>
      <c r="AI427" s="9"/>
      <c r="AJ427" s="8"/>
      <c r="AK427" s="6"/>
    </row>
    <row r="428" spans="1:37" s="7" customFormat="1" ht="39" customHeight="1" x14ac:dyDescent="0.25">
      <c r="A428" s="13"/>
      <c r="B428" s="21"/>
      <c r="C428" s="11"/>
      <c r="D428" s="11"/>
      <c r="E428" s="10"/>
      <c r="F428" s="10"/>
      <c r="G428" s="10"/>
      <c r="H428" s="10"/>
      <c r="I428" s="10"/>
      <c r="J428" s="10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9"/>
      <c r="AE428" s="8"/>
      <c r="AF428" s="6"/>
      <c r="AG428" s="6"/>
      <c r="AH428" s="6"/>
      <c r="AI428" s="9"/>
      <c r="AJ428" s="8"/>
      <c r="AK428" s="6"/>
    </row>
    <row r="429" spans="1:37" s="7" customFormat="1" ht="39" customHeight="1" x14ac:dyDescent="0.25">
      <c r="A429" s="13"/>
      <c r="B429" s="21"/>
      <c r="C429" s="11"/>
      <c r="D429" s="11"/>
      <c r="E429" s="10"/>
      <c r="F429" s="10"/>
      <c r="G429" s="10"/>
      <c r="H429" s="10"/>
      <c r="I429" s="10"/>
      <c r="J429" s="10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9"/>
      <c r="AE429" s="8"/>
      <c r="AF429" s="6"/>
      <c r="AG429" s="6"/>
      <c r="AH429" s="14"/>
      <c r="AI429" s="9"/>
      <c r="AJ429" s="8"/>
      <c r="AK429" s="6"/>
    </row>
    <row r="430" spans="1:37" s="7" customFormat="1" ht="39" customHeight="1" x14ac:dyDescent="0.25">
      <c r="A430" s="13"/>
      <c r="B430" s="21"/>
      <c r="C430" s="11"/>
      <c r="D430" s="11"/>
      <c r="E430" s="10"/>
      <c r="F430" s="10"/>
      <c r="G430" s="10"/>
      <c r="H430" s="10"/>
      <c r="I430" s="10"/>
      <c r="J430" s="10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9"/>
      <c r="AE430" s="8"/>
      <c r="AF430" s="6"/>
      <c r="AG430" s="6"/>
      <c r="AH430" s="14"/>
      <c r="AI430" s="9"/>
      <c r="AJ430" s="8"/>
      <c r="AK430" s="6"/>
    </row>
    <row r="431" spans="1:37" s="7" customFormat="1" ht="39" customHeight="1" x14ac:dyDescent="0.25">
      <c r="A431" s="13"/>
      <c r="B431" s="21"/>
      <c r="C431" s="11"/>
      <c r="D431" s="11"/>
      <c r="E431" s="10"/>
      <c r="F431" s="10"/>
      <c r="G431" s="10"/>
      <c r="H431" s="10"/>
      <c r="I431" s="10"/>
      <c r="J431" s="10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9"/>
      <c r="AE431" s="8"/>
      <c r="AF431" s="14"/>
      <c r="AG431" s="6"/>
      <c r="AH431" s="14"/>
      <c r="AI431" s="9"/>
      <c r="AJ431" s="8"/>
      <c r="AK431" s="6"/>
    </row>
    <row r="432" spans="1:37" s="7" customFormat="1" ht="39" customHeight="1" x14ac:dyDescent="0.25">
      <c r="A432" s="13"/>
      <c r="B432" s="21"/>
      <c r="C432" s="11"/>
      <c r="D432" s="11"/>
      <c r="E432" s="10"/>
      <c r="F432" s="10"/>
      <c r="G432" s="10"/>
      <c r="H432" s="10"/>
      <c r="I432" s="10"/>
      <c r="J432" s="10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9"/>
      <c r="AE432" s="8"/>
      <c r="AF432" s="14"/>
      <c r="AG432" s="6"/>
      <c r="AH432" s="14"/>
      <c r="AI432" s="9"/>
      <c r="AJ432" s="8"/>
      <c r="AK432" s="6"/>
    </row>
    <row r="433" spans="1:37" s="7" customFormat="1" ht="39" customHeight="1" x14ac:dyDescent="0.25">
      <c r="A433" s="13"/>
      <c r="B433" s="21"/>
      <c r="C433" s="11"/>
      <c r="D433" s="11"/>
      <c r="E433" s="10"/>
      <c r="F433" s="10"/>
      <c r="G433" s="10"/>
      <c r="H433" s="10"/>
      <c r="I433" s="10"/>
      <c r="J433" s="10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9"/>
      <c r="AE433" s="8"/>
      <c r="AF433" s="6"/>
      <c r="AG433" s="6"/>
      <c r="AH433" s="6"/>
      <c r="AI433" s="9"/>
      <c r="AJ433" s="8"/>
      <c r="AK433" s="6"/>
    </row>
    <row r="434" spans="1:37" s="7" customFormat="1" ht="39" customHeight="1" x14ac:dyDescent="0.25">
      <c r="A434" s="13"/>
      <c r="B434" s="21"/>
      <c r="C434" s="11"/>
      <c r="D434" s="11"/>
      <c r="E434" s="6"/>
      <c r="F434" s="10"/>
      <c r="G434" s="10"/>
      <c r="H434" s="10"/>
      <c r="I434" s="10"/>
      <c r="J434" s="10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9"/>
      <c r="AE434" s="8"/>
      <c r="AF434" s="14"/>
      <c r="AG434" s="6"/>
      <c r="AH434" s="14"/>
      <c r="AI434" s="9"/>
      <c r="AJ434" s="8"/>
      <c r="AK434" s="6"/>
    </row>
    <row r="435" spans="1:37" s="7" customFormat="1" ht="39" customHeight="1" x14ac:dyDescent="0.25">
      <c r="A435" s="13"/>
      <c r="B435" s="21"/>
      <c r="C435" s="11"/>
      <c r="D435" s="11"/>
      <c r="E435" s="10"/>
      <c r="F435" s="10"/>
      <c r="G435" s="10"/>
      <c r="H435" s="10"/>
      <c r="I435" s="10"/>
      <c r="J435" s="10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9"/>
      <c r="AE435" s="8"/>
      <c r="AF435" s="6"/>
      <c r="AG435" s="6"/>
      <c r="AH435" s="6"/>
      <c r="AI435" s="9"/>
      <c r="AJ435" s="8"/>
      <c r="AK435" s="6"/>
    </row>
    <row r="436" spans="1:37" s="7" customFormat="1" ht="39" customHeight="1" x14ac:dyDescent="0.25">
      <c r="A436" s="13"/>
      <c r="B436" s="21"/>
      <c r="C436" s="11"/>
      <c r="D436" s="11"/>
      <c r="E436" s="6"/>
      <c r="F436" s="10"/>
      <c r="G436" s="10"/>
      <c r="H436" s="10"/>
      <c r="I436" s="10"/>
      <c r="J436" s="10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9"/>
      <c r="AE436" s="8"/>
      <c r="AF436" s="14"/>
      <c r="AG436" s="6"/>
      <c r="AH436" s="14"/>
      <c r="AI436" s="9"/>
      <c r="AJ436" s="8"/>
      <c r="AK436" s="6"/>
    </row>
    <row r="437" spans="1:37" s="7" customFormat="1" ht="39" customHeight="1" x14ac:dyDescent="0.25">
      <c r="A437" s="13"/>
      <c r="B437" s="21"/>
      <c r="C437" s="11"/>
      <c r="D437" s="11"/>
      <c r="E437" s="6"/>
      <c r="F437" s="10"/>
      <c r="G437" s="10"/>
      <c r="H437" s="10"/>
      <c r="I437" s="10"/>
      <c r="J437" s="10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9"/>
      <c r="AE437" s="8"/>
      <c r="AF437" s="6"/>
      <c r="AG437" s="6"/>
      <c r="AH437" s="6"/>
      <c r="AI437" s="9"/>
      <c r="AJ437" s="8"/>
      <c r="AK437" s="6"/>
    </row>
    <row r="438" spans="1:37" s="7" customFormat="1" ht="39" customHeight="1" x14ac:dyDescent="0.25">
      <c r="A438" s="13"/>
      <c r="B438" s="21"/>
      <c r="C438" s="11"/>
      <c r="D438" s="11"/>
      <c r="E438" s="10"/>
      <c r="F438" s="10"/>
      <c r="G438" s="10"/>
      <c r="H438" s="10"/>
      <c r="I438" s="10"/>
      <c r="J438" s="10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9"/>
      <c r="AE438" s="8"/>
      <c r="AF438" s="14"/>
      <c r="AG438" s="6"/>
      <c r="AH438" s="14"/>
      <c r="AI438" s="9"/>
      <c r="AJ438" s="8"/>
      <c r="AK438" s="6"/>
    </row>
    <row r="439" spans="1:37" s="7" customFormat="1" ht="39" customHeight="1" x14ac:dyDescent="0.25">
      <c r="A439" s="13"/>
      <c r="B439" s="12"/>
      <c r="C439" s="11"/>
      <c r="D439" s="21"/>
      <c r="E439" s="10"/>
      <c r="F439" s="10"/>
      <c r="G439" s="10"/>
      <c r="H439" s="10"/>
      <c r="I439" s="10"/>
      <c r="J439" s="10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9"/>
      <c r="AE439" s="8"/>
      <c r="AF439" s="6"/>
      <c r="AG439" s="6"/>
      <c r="AH439" s="6"/>
      <c r="AI439" s="9"/>
      <c r="AJ439" s="8"/>
      <c r="AK439" s="6"/>
    </row>
    <row r="440" spans="1:37" s="7" customFormat="1" ht="39" customHeight="1" x14ac:dyDescent="0.25">
      <c r="A440" s="13"/>
      <c r="B440" s="21"/>
      <c r="C440" s="11"/>
      <c r="D440" s="11"/>
      <c r="E440" s="10"/>
      <c r="F440" s="10"/>
      <c r="G440" s="10"/>
      <c r="H440" s="10"/>
      <c r="I440" s="10"/>
      <c r="J440" s="10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9"/>
      <c r="AE440" s="8"/>
      <c r="AF440" s="6"/>
      <c r="AG440" s="6"/>
      <c r="AH440" s="6"/>
      <c r="AI440" s="9"/>
      <c r="AJ440" s="8"/>
      <c r="AK440" s="6"/>
    </row>
    <row r="441" spans="1:37" s="7" customFormat="1" ht="39" customHeight="1" x14ac:dyDescent="0.25">
      <c r="A441" s="13"/>
      <c r="B441" s="12"/>
      <c r="C441" s="11"/>
      <c r="D441" s="11"/>
      <c r="E441" s="10"/>
      <c r="F441" s="10"/>
      <c r="G441" s="10"/>
      <c r="H441" s="10"/>
      <c r="I441" s="10"/>
      <c r="J441" s="10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9"/>
      <c r="AE441" s="8"/>
      <c r="AF441" s="14"/>
      <c r="AG441" s="6"/>
      <c r="AH441" s="14"/>
      <c r="AI441" s="9"/>
      <c r="AJ441" s="8"/>
      <c r="AK441" s="6"/>
    </row>
    <row r="442" spans="1:37" s="7" customFormat="1" ht="39" customHeight="1" x14ac:dyDescent="0.25">
      <c r="A442" s="13"/>
      <c r="B442" s="12"/>
      <c r="C442" s="11"/>
      <c r="D442" s="11"/>
      <c r="E442" s="10"/>
      <c r="F442" s="10"/>
      <c r="G442" s="10"/>
      <c r="H442" s="10"/>
      <c r="I442" s="10"/>
      <c r="J442" s="10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9"/>
      <c r="AE442" s="8"/>
      <c r="AF442" s="6"/>
      <c r="AG442" s="6"/>
      <c r="AH442" s="6"/>
      <c r="AI442" s="9"/>
      <c r="AJ442" s="8"/>
      <c r="AK442" s="6"/>
    </row>
    <row r="443" spans="1:37" s="7" customFormat="1" ht="39" customHeight="1" x14ac:dyDescent="0.25">
      <c r="A443" s="13"/>
      <c r="B443" s="12"/>
      <c r="C443" s="11"/>
      <c r="D443" s="11"/>
      <c r="E443" s="10"/>
      <c r="F443" s="10"/>
      <c r="G443" s="10"/>
      <c r="H443" s="10"/>
      <c r="I443" s="10"/>
      <c r="J443" s="10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9"/>
      <c r="AE443" s="8"/>
      <c r="AF443" s="14"/>
      <c r="AG443" s="6"/>
      <c r="AH443" s="14"/>
      <c r="AI443" s="9"/>
      <c r="AJ443" s="8"/>
      <c r="AK443" s="6"/>
    </row>
    <row r="444" spans="1:37" s="7" customFormat="1" ht="39" customHeight="1" x14ac:dyDescent="0.25">
      <c r="A444" s="13"/>
      <c r="B444" s="21"/>
      <c r="C444" s="11"/>
      <c r="D444" s="11"/>
      <c r="E444" s="6"/>
      <c r="F444" s="10"/>
      <c r="G444" s="10"/>
      <c r="H444" s="10"/>
      <c r="I444" s="10"/>
      <c r="J444" s="10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9"/>
      <c r="AE444" s="8"/>
      <c r="AF444" s="6"/>
      <c r="AG444" s="6"/>
      <c r="AH444" s="6"/>
      <c r="AI444" s="9"/>
      <c r="AJ444" s="8"/>
      <c r="AK444" s="6"/>
    </row>
    <row r="445" spans="1:37" s="7" customFormat="1" ht="39" customHeight="1" x14ac:dyDescent="0.25">
      <c r="A445" s="13"/>
      <c r="B445" s="12"/>
      <c r="C445" s="11"/>
      <c r="D445" s="11"/>
      <c r="E445" s="10"/>
      <c r="F445" s="10"/>
      <c r="G445" s="10"/>
      <c r="H445" s="10"/>
      <c r="I445" s="10"/>
      <c r="J445" s="10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9"/>
      <c r="AE445" s="8"/>
      <c r="AF445" s="6"/>
      <c r="AG445" s="6"/>
      <c r="AH445" s="6"/>
      <c r="AI445" s="9"/>
      <c r="AJ445" s="8"/>
      <c r="AK445" s="6"/>
    </row>
    <row r="446" spans="1:37" s="7" customFormat="1" ht="39" customHeight="1" x14ac:dyDescent="0.25">
      <c r="A446" s="13"/>
      <c r="B446" s="12"/>
      <c r="C446" s="11"/>
      <c r="D446" s="11"/>
      <c r="E446" s="10"/>
      <c r="F446" s="10"/>
      <c r="G446" s="10"/>
      <c r="H446" s="10"/>
      <c r="I446" s="10"/>
      <c r="J446" s="10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9"/>
      <c r="AE446" s="8"/>
      <c r="AF446" s="6"/>
      <c r="AG446" s="6"/>
      <c r="AH446" s="6"/>
      <c r="AI446" s="9"/>
      <c r="AJ446" s="8"/>
      <c r="AK446" s="6"/>
    </row>
    <row r="447" spans="1:37" s="7" customFormat="1" ht="39" customHeight="1" x14ac:dyDescent="0.25">
      <c r="A447" s="13"/>
      <c r="B447" s="21"/>
      <c r="C447" s="11"/>
      <c r="D447" s="11"/>
      <c r="E447" s="10"/>
      <c r="F447" s="10"/>
      <c r="G447" s="10"/>
      <c r="H447" s="10"/>
      <c r="I447" s="10"/>
      <c r="J447" s="10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9"/>
      <c r="AE447" s="8"/>
      <c r="AF447" s="14"/>
      <c r="AG447" s="6"/>
      <c r="AH447" s="14"/>
      <c r="AI447" s="9"/>
      <c r="AJ447" s="8"/>
      <c r="AK447" s="6"/>
    </row>
    <row r="448" spans="1:37" s="7" customFormat="1" ht="39" customHeight="1" x14ac:dyDescent="0.25">
      <c r="A448" s="13"/>
      <c r="B448" s="21"/>
      <c r="C448" s="11"/>
      <c r="D448" s="11"/>
      <c r="E448" s="10"/>
      <c r="F448" s="10"/>
      <c r="G448" s="10"/>
      <c r="H448" s="10"/>
      <c r="I448" s="10"/>
      <c r="J448" s="10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9"/>
      <c r="AE448" s="8"/>
      <c r="AF448" s="14"/>
      <c r="AG448" s="6"/>
      <c r="AH448" s="14"/>
      <c r="AI448" s="9"/>
      <c r="AJ448" s="8"/>
      <c r="AK448" s="6"/>
    </row>
    <row r="449" spans="1:37" s="7" customFormat="1" ht="39" customHeight="1" x14ac:dyDescent="0.25">
      <c r="A449" s="13"/>
      <c r="B449" s="12"/>
      <c r="C449" s="11"/>
      <c r="D449" s="11"/>
      <c r="E449" s="10"/>
      <c r="F449" s="10"/>
      <c r="G449" s="10"/>
      <c r="H449" s="10"/>
      <c r="I449" s="10"/>
      <c r="J449" s="10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9"/>
      <c r="AE449" s="8"/>
      <c r="AF449" s="6"/>
      <c r="AG449" s="6"/>
      <c r="AH449" s="6"/>
      <c r="AI449" s="9"/>
      <c r="AJ449" s="8"/>
      <c r="AK449" s="6"/>
    </row>
    <row r="450" spans="1:37" s="7" customFormat="1" ht="39" customHeight="1" x14ac:dyDescent="0.25">
      <c r="A450" s="13"/>
      <c r="B450" s="21"/>
      <c r="C450" s="11"/>
      <c r="D450" s="11"/>
      <c r="E450" s="21"/>
      <c r="F450" s="21"/>
      <c r="G450" s="21"/>
      <c r="H450" s="21"/>
      <c r="I450" s="21"/>
      <c r="J450" s="21"/>
      <c r="K450" s="21"/>
      <c r="L450" s="6"/>
      <c r="M450" s="21"/>
      <c r="N450" s="21"/>
      <c r="O450" s="21"/>
      <c r="P450" s="21"/>
      <c r="Q450" s="21"/>
      <c r="R450" s="6"/>
      <c r="S450" s="6"/>
      <c r="T450" s="6"/>
      <c r="U450" s="21"/>
      <c r="V450" s="21"/>
      <c r="W450" s="6"/>
      <c r="X450" s="6"/>
      <c r="Y450" s="6"/>
      <c r="Z450" s="6"/>
      <c r="AA450" s="6"/>
      <c r="AB450" s="6"/>
      <c r="AC450" s="22"/>
      <c r="AD450" s="9"/>
      <c r="AE450" s="8"/>
      <c r="AF450" s="6"/>
      <c r="AG450" s="6"/>
      <c r="AH450" s="6"/>
      <c r="AI450" s="9"/>
      <c r="AJ450" s="8"/>
      <c r="AK450" s="6"/>
    </row>
    <row r="451" spans="1:37" s="7" customFormat="1" ht="39" customHeight="1" x14ac:dyDescent="0.25">
      <c r="A451" s="13"/>
      <c r="B451" s="21"/>
      <c r="C451" s="11"/>
      <c r="D451" s="11"/>
      <c r="E451" s="10"/>
      <c r="F451" s="10"/>
      <c r="G451" s="10"/>
      <c r="H451" s="10"/>
      <c r="I451" s="10"/>
      <c r="J451" s="10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9"/>
      <c r="AE451" s="8"/>
      <c r="AF451" s="6"/>
      <c r="AG451" s="6"/>
      <c r="AH451" s="6"/>
      <c r="AI451" s="9"/>
      <c r="AJ451" s="8"/>
      <c r="AK451" s="6"/>
    </row>
    <row r="452" spans="1:37" s="7" customFormat="1" ht="39" customHeight="1" x14ac:dyDescent="0.25">
      <c r="A452" s="20"/>
      <c r="B452" s="19"/>
      <c r="C452" s="19"/>
      <c r="D452" s="19"/>
      <c r="E452" s="24"/>
      <c r="F452" s="24"/>
      <c r="G452" s="24"/>
      <c r="H452" s="24"/>
      <c r="I452" s="24"/>
      <c r="J452" s="24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7"/>
      <c r="AE452" s="16"/>
      <c r="AF452" s="23"/>
      <c r="AG452" s="15"/>
      <c r="AH452" s="23"/>
      <c r="AI452" s="17"/>
      <c r="AJ452" s="16"/>
      <c r="AK452" s="15"/>
    </row>
    <row r="453" spans="1:37" s="7" customFormat="1" ht="39" customHeight="1" x14ac:dyDescent="0.25">
      <c r="A453" s="13"/>
      <c r="B453" s="21"/>
      <c r="C453" s="11"/>
      <c r="D453" s="11"/>
      <c r="E453" s="10"/>
      <c r="F453" s="10"/>
      <c r="G453" s="10"/>
      <c r="H453" s="10"/>
      <c r="I453" s="10"/>
      <c r="J453" s="10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9"/>
      <c r="AE453" s="8"/>
      <c r="AF453" s="6"/>
      <c r="AG453" s="6"/>
      <c r="AH453" s="6"/>
      <c r="AI453" s="9"/>
      <c r="AJ453" s="8"/>
      <c r="AK453" s="6"/>
    </row>
    <row r="454" spans="1:37" s="7" customFormat="1" ht="39" customHeight="1" x14ac:dyDescent="0.25">
      <c r="A454" s="13"/>
      <c r="B454" s="21"/>
      <c r="C454" s="11"/>
      <c r="D454" s="11"/>
      <c r="E454" s="10"/>
      <c r="F454" s="10"/>
      <c r="G454" s="10"/>
      <c r="H454" s="10"/>
      <c r="I454" s="10"/>
      <c r="J454" s="10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9"/>
      <c r="AE454" s="8"/>
      <c r="AF454" s="6"/>
      <c r="AG454" s="6"/>
      <c r="AH454" s="6"/>
      <c r="AI454" s="9"/>
      <c r="AJ454" s="8"/>
      <c r="AK454" s="6"/>
    </row>
    <row r="455" spans="1:37" s="7" customFormat="1" ht="39" customHeight="1" x14ac:dyDescent="0.25">
      <c r="A455" s="13"/>
      <c r="B455" s="21"/>
      <c r="C455" s="11"/>
      <c r="D455" s="11"/>
      <c r="E455" s="10"/>
      <c r="F455" s="10"/>
      <c r="G455" s="10"/>
      <c r="H455" s="10"/>
      <c r="I455" s="10"/>
      <c r="J455" s="10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9"/>
      <c r="AE455" s="8"/>
      <c r="AF455" s="6"/>
      <c r="AG455" s="6"/>
      <c r="AH455" s="14"/>
      <c r="AI455" s="9"/>
      <c r="AJ455" s="8"/>
      <c r="AK455" s="6"/>
    </row>
    <row r="456" spans="1:37" s="7" customFormat="1" ht="39" customHeight="1" x14ac:dyDescent="0.25">
      <c r="A456" s="13"/>
      <c r="B456" s="21"/>
      <c r="C456" s="11"/>
      <c r="D456" s="11"/>
      <c r="E456" s="10"/>
      <c r="F456" s="10"/>
      <c r="G456" s="10"/>
      <c r="H456" s="10"/>
      <c r="I456" s="10"/>
      <c r="J456" s="10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9"/>
      <c r="AE456" s="8"/>
      <c r="AF456" s="6"/>
      <c r="AG456" s="6"/>
      <c r="AH456" s="14"/>
      <c r="AI456" s="9"/>
      <c r="AJ456" s="8"/>
      <c r="AK456" s="6"/>
    </row>
    <row r="457" spans="1:37" s="7" customFormat="1" ht="39" customHeight="1" x14ac:dyDescent="0.25">
      <c r="A457" s="13"/>
      <c r="B457" s="21"/>
      <c r="C457" s="11"/>
      <c r="D457" s="11"/>
      <c r="E457" s="10"/>
      <c r="F457" s="10"/>
      <c r="G457" s="10"/>
      <c r="H457" s="10"/>
      <c r="I457" s="10"/>
      <c r="J457" s="10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9"/>
      <c r="AE457" s="8"/>
      <c r="AF457" s="14"/>
      <c r="AG457" s="6"/>
      <c r="AH457" s="14"/>
      <c r="AI457" s="9"/>
      <c r="AJ457" s="8"/>
      <c r="AK457" s="6"/>
    </row>
    <row r="458" spans="1:37" s="7" customFormat="1" ht="39" customHeight="1" x14ac:dyDescent="0.25">
      <c r="A458" s="13"/>
      <c r="B458" s="21"/>
      <c r="C458" s="11"/>
      <c r="D458" s="11"/>
      <c r="E458" s="10"/>
      <c r="F458" s="10"/>
      <c r="G458" s="10"/>
      <c r="H458" s="10"/>
      <c r="I458" s="10"/>
      <c r="J458" s="10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9"/>
      <c r="AE458" s="8"/>
      <c r="AF458" s="14"/>
      <c r="AG458" s="6"/>
      <c r="AH458" s="14"/>
      <c r="AI458" s="9"/>
      <c r="AJ458" s="8"/>
      <c r="AK458" s="6"/>
    </row>
    <row r="459" spans="1:37" s="7" customFormat="1" ht="39" customHeight="1" x14ac:dyDescent="0.25">
      <c r="A459" s="13"/>
      <c r="B459" s="21"/>
      <c r="C459" s="11"/>
      <c r="D459" s="11"/>
      <c r="E459" s="10"/>
      <c r="F459" s="10"/>
      <c r="G459" s="10"/>
      <c r="H459" s="10"/>
      <c r="I459" s="10"/>
      <c r="J459" s="10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9"/>
      <c r="AE459" s="8"/>
      <c r="AF459" s="6"/>
      <c r="AG459" s="6"/>
      <c r="AH459" s="6"/>
      <c r="AI459" s="9"/>
      <c r="AJ459" s="8"/>
      <c r="AK459" s="6"/>
    </row>
    <row r="460" spans="1:37" s="7" customFormat="1" ht="39" customHeight="1" x14ac:dyDescent="0.25">
      <c r="A460" s="13"/>
      <c r="B460" s="21"/>
      <c r="C460" s="11"/>
      <c r="D460" s="11"/>
      <c r="E460" s="6"/>
      <c r="F460" s="10"/>
      <c r="G460" s="10"/>
      <c r="H460" s="10"/>
      <c r="I460" s="10"/>
      <c r="J460" s="10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9"/>
      <c r="AE460" s="8"/>
      <c r="AF460" s="14"/>
      <c r="AG460" s="6"/>
      <c r="AH460" s="14"/>
      <c r="AI460" s="9"/>
      <c r="AJ460" s="8"/>
      <c r="AK460" s="6"/>
    </row>
    <row r="461" spans="1:37" s="7" customFormat="1" ht="39" customHeight="1" x14ac:dyDescent="0.25">
      <c r="A461" s="13"/>
      <c r="B461" s="21"/>
      <c r="C461" s="11"/>
      <c r="D461" s="11"/>
      <c r="E461" s="10"/>
      <c r="F461" s="10"/>
      <c r="G461" s="10"/>
      <c r="H461" s="10"/>
      <c r="I461" s="10"/>
      <c r="J461" s="10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9"/>
      <c r="AE461" s="8"/>
      <c r="AF461" s="6"/>
      <c r="AG461" s="6"/>
      <c r="AH461" s="6"/>
      <c r="AI461" s="9"/>
      <c r="AJ461" s="8"/>
      <c r="AK461" s="6"/>
    </row>
    <row r="462" spans="1:37" s="7" customFormat="1" ht="39" customHeight="1" x14ac:dyDescent="0.25">
      <c r="A462" s="13"/>
      <c r="B462" s="21"/>
      <c r="C462" s="11"/>
      <c r="D462" s="11"/>
      <c r="E462" s="6"/>
      <c r="F462" s="10"/>
      <c r="G462" s="10"/>
      <c r="H462" s="10"/>
      <c r="I462" s="10"/>
      <c r="J462" s="10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9"/>
      <c r="AE462" s="8"/>
      <c r="AF462" s="14"/>
      <c r="AG462" s="6"/>
      <c r="AH462" s="14"/>
      <c r="AI462" s="9"/>
      <c r="AJ462" s="8"/>
      <c r="AK462" s="6"/>
    </row>
    <row r="463" spans="1:37" s="7" customFormat="1" ht="39" customHeight="1" x14ac:dyDescent="0.25">
      <c r="A463" s="13"/>
      <c r="B463" s="21"/>
      <c r="C463" s="11"/>
      <c r="D463" s="11"/>
      <c r="E463" s="6"/>
      <c r="F463" s="10"/>
      <c r="G463" s="10"/>
      <c r="H463" s="10"/>
      <c r="I463" s="10"/>
      <c r="J463" s="10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9"/>
      <c r="AE463" s="8"/>
      <c r="AF463" s="6"/>
      <c r="AG463" s="6"/>
      <c r="AH463" s="6"/>
      <c r="AI463" s="9"/>
      <c r="AJ463" s="8"/>
      <c r="AK463" s="6"/>
    </row>
    <row r="464" spans="1:37" s="7" customFormat="1" ht="39" customHeight="1" x14ac:dyDescent="0.25">
      <c r="A464" s="13"/>
      <c r="B464" s="21"/>
      <c r="C464" s="11"/>
      <c r="D464" s="11"/>
      <c r="E464" s="10"/>
      <c r="F464" s="10"/>
      <c r="G464" s="10"/>
      <c r="H464" s="10"/>
      <c r="I464" s="10"/>
      <c r="J464" s="10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9"/>
      <c r="AE464" s="8"/>
      <c r="AF464" s="14"/>
      <c r="AG464" s="6"/>
      <c r="AH464" s="14"/>
      <c r="AI464" s="9"/>
      <c r="AJ464" s="8"/>
      <c r="AK464" s="6"/>
    </row>
    <row r="465" spans="1:37" s="7" customFormat="1" ht="39" customHeight="1" x14ac:dyDescent="0.25">
      <c r="A465" s="13"/>
      <c r="B465" s="21"/>
      <c r="C465" s="11"/>
      <c r="D465" s="11"/>
      <c r="E465" s="10"/>
      <c r="F465" s="10"/>
      <c r="G465" s="10"/>
      <c r="H465" s="10"/>
      <c r="I465" s="10"/>
      <c r="J465" s="10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9"/>
      <c r="AE465" s="8"/>
      <c r="AF465" s="6"/>
      <c r="AG465" s="6"/>
      <c r="AH465" s="6"/>
      <c r="AI465" s="9"/>
      <c r="AJ465" s="8"/>
      <c r="AK465" s="6"/>
    </row>
    <row r="466" spans="1:37" s="7" customFormat="1" ht="39" customHeight="1" x14ac:dyDescent="0.25">
      <c r="A466" s="13"/>
      <c r="B466" s="12"/>
      <c r="C466" s="11"/>
      <c r="D466" s="21"/>
      <c r="E466" s="10"/>
      <c r="F466" s="10"/>
      <c r="G466" s="10"/>
      <c r="H466" s="10"/>
      <c r="I466" s="10"/>
      <c r="J466" s="10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9"/>
      <c r="AE466" s="8"/>
      <c r="AF466" s="6"/>
      <c r="AG466" s="6"/>
      <c r="AH466" s="6"/>
      <c r="AI466" s="9"/>
      <c r="AJ466" s="8"/>
      <c r="AK466" s="6"/>
    </row>
    <row r="467" spans="1:37" s="7" customFormat="1" ht="39" customHeight="1" x14ac:dyDescent="0.25">
      <c r="A467" s="13"/>
      <c r="B467" s="21"/>
      <c r="C467" s="11"/>
      <c r="D467" s="11"/>
      <c r="E467" s="10"/>
      <c r="F467" s="10"/>
      <c r="G467" s="10"/>
      <c r="H467" s="10"/>
      <c r="I467" s="10"/>
      <c r="J467" s="10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9"/>
      <c r="AE467" s="8"/>
      <c r="AF467" s="14"/>
      <c r="AG467" s="6"/>
      <c r="AH467" s="14"/>
      <c r="AI467" s="9"/>
      <c r="AJ467" s="8"/>
      <c r="AK467" s="6"/>
    </row>
    <row r="468" spans="1:37" s="7" customFormat="1" ht="39" customHeight="1" x14ac:dyDescent="0.25">
      <c r="A468" s="13"/>
      <c r="B468" s="12"/>
      <c r="C468" s="11"/>
      <c r="D468" s="11"/>
      <c r="E468" s="10"/>
      <c r="F468" s="10"/>
      <c r="G468" s="10"/>
      <c r="H468" s="10"/>
      <c r="I468" s="10"/>
      <c r="J468" s="10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9"/>
      <c r="AE468" s="8"/>
      <c r="AF468" s="6"/>
      <c r="AG468" s="6"/>
      <c r="AH468" s="6"/>
      <c r="AI468" s="9"/>
      <c r="AJ468" s="8"/>
      <c r="AK468" s="6"/>
    </row>
    <row r="469" spans="1:37" s="7" customFormat="1" ht="39" customHeight="1" x14ac:dyDescent="0.25">
      <c r="A469" s="13"/>
      <c r="B469" s="12"/>
      <c r="C469" s="11"/>
      <c r="D469" s="11"/>
      <c r="E469" s="10"/>
      <c r="F469" s="10"/>
      <c r="G469" s="10"/>
      <c r="H469" s="10"/>
      <c r="I469" s="10"/>
      <c r="J469" s="10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9"/>
      <c r="AE469" s="8"/>
      <c r="AF469" s="14"/>
      <c r="AG469" s="6"/>
      <c r="AH469" s="14"/>
      <c r="AI469" s="9"/>
      <c r="AJ469" s="8"/>
      <c r="AK469" s="6"/>
    </row>
    <row r="470" spans="1:37" s="7" customFormat="1" ht="39" customHeight="1" x14ac:dyDescent="0.25">
      <c r="A470" s="13"/>
      <c r="B470" s="12"/>
      <c r="C470" s="11"/>
      <c r="D470" s="11"/>
      <c r="E470" s="6"/>
      <c r="F470" s="10"/>
      <c r="G470" s="10"/>
      <c r="H470" s="10"/>
      <c r="I470" s="10"/>
      <c r="J470" s="10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9"/>
      <c r="AE470" s="8"/>
      <c r="AF470" s="6"/>
      <c r="AG470" s="6"/>
      <c r="AH470" s="6"/>
      <c r="AI470" s="9"/>
      <c r="AJ470" s="8"/>
      <c r="AK470" s="6"/>
    </row>
    <row r="471" spans="1:37" s="7" customFormat="1" ht="39" customHeight="1" x14ac:dyDescent="0.25">
      <c r="A471" s="13"/>
      <c r="B471" s="21"/>
      <c r="C471" s="11"/>
      <c r="D471" s="11"/>
      <c r="E471" s="10"/>
      <c r="F471" s="10"/>
      <c r="G471" s="10"/>
      <c r="H471" s="10"/>
      <c r="I471" s="10"/>
      <c r="J471" s="10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9"/>
      <c r="AE471" s="8"/>
      <c r="AF471" s="6"/>
      <c r="AG471" s="6"/>
      <c r="AH471" s="6"/>
      <c r="AI471" s="9"/>
      <c r="AJ471" s="8"/>
      <c r="AK471" s="6"/>
    </row>
    <row r="472" spans="1:37" s="7" customFormat="1" ht="39" customHeight="1" x14ac:dyDescent="0.25">
      <c r="A472" s="13"/>
      <c r="B472" s="12"/>
      <c r="C472" s="11"/>
      <c r="D472" s="11"/>
      <c r="E472" s="10"/>
      <c r="F472" s="10"/>
      <c r="G472" s="10"/>
      <c r="H472" s="10"/>
      <c r="I472" s="10"/>
      <c r="J472" s="10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9"/>
      <c r="AE472" s="8"/>
      <c r="AF472" s="6"/>
      <c r="AG472" s="6"/>
      <c r="AH472" s="6"/>
      <c r="AI472" s="9"/>
      <c r="AJ472" s="8"/>
      <c r="AK472" s="6"/>
    </row>
    <row r="473" spans="1:37" s="7" customFormat="1" ht="39" customHeight="1" x14ac:dyDescent="0.25">
      <c r="A473" s="13"/>
      <c r="B473" s="12"/>
      <c r="C473" s="11"/>
      <c r="D473" s="11"/>
      <c r="E473" s="10"/>
      <c r="F473" s="10"/>
      <c r="G473" s="10"/>
      <c r="H473" s="10"/>
      <c r="I473" s="10"/>
      <c r="J473" s="10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9"/>
      <c r="AE473" s="8"/>
      <c r="AF473" s="14"/>
      <c r="AG473" s="6"/>
      <c r="AH473" s="14"/>
      <c r="AI473" s="9"/>
      <c r="AJ473" s="8"/>
      <c r="AK473" s="6"/>
    </row>
    <row r="474" spans="1:37" s="7" customFormat="1" ht="39" customHeight="1" x14ac:dyDescent="0.25">
      <c r="A474" s="13"/>
      <c r="B474" s="21"/>
      <c r="C474" s="11"/>
      <c r="D474" s="11"/>
      <c r="E474" s="10"/>
      <c r="F474" s="10"/>
      <c r="G474" s="10"/>
      <c r="H474" s="10"/>
      <c r="I474" s="10"/>
      <c r="J474" s="10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9"/>
      <c r="AE474" s="8"/>
      <c r="AF474" s="14"/>
      <c r="AG474" s="6"/>
      <c r="AH474" s="14"/>
      <c r="AI474" s="9"/>
      <c r="AJ474" s="8"/>
      <c r="AK474" s="6"/>
    </row>
    <row r="475" spans="1:37" s="7" customFormat="1" ht="39" customHeight="1" x14ac:dyDescent="0.25">
      <c r="A475" s="13"/>
      <c r="B475" s="21"/>
      <c r="C475" s="11"/>
      <c r="D475" s="11"/>
      <c r="E475" s="10"/>
      <c r="F475" s="10"/>
      <c r="G475" s="10"/>
      <c r="H475" s="10"/>
      <c r="I475" s="10"/>
      <c r="J475" s="10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9"/>
      <c r="AE475" s="8"/>
      <c r="AF475" s="6"/>
      <c r="AG475" s="6"/>
      <c r="AH475" s="6"/>
      <c r="AI475" s="9"/>
      <c r="AJ475" s="8"/>
      <c r="AK475" s="6"/>
    </row>
    <row r="476" spans="1:37" s="7" customFormat="1" ht="39" customHeight="1" x14ac:dyDescent="0.25">
      <c r="A476" s="13"/>
      <c r="B476" s="12"/>
      <c r="C476" s="11"/>
      <c r="D476" s="11"/>
      <c r="E476" s="21"/>
      <c r="F476" s="21"/>
      <c r="G476" s="21"/>
      <c r="H476" s="21"/>
      <c r="I476" s="21"/>
      <c r="J476" s="21"/>
      <c r="K476" s="21"/>
      <c r="L476" s="6"/>
      <c r="M476" s="21"/>
      <c r="N476" s="21"/>
      <c r="O476" s="21"/>
      <c r="P476" s="21"/>
      <c r="Q476" s="21"/>
      <c r="R476" s="6"/>
      <c r="S476" s="6"/>
      <c r="T476" s="6"/>
      <c r="U476" s="21"/>
      <c r="V476" s="21"/>
      <c r="W476" s="6"/>
      <c r="X476" s="6"/>
      <c r="Y476" s="6"/>
      <c r="Z476" s="6"/>
      <c r="AA476" s="6"/>
      <c r="AB476" s="6"/>
      <c r="AC476" s="22"/>
      <c r="AD476" s="9"/>
      <c r="AE476" s="8"/>
      <c r="AF476" s="6"/>
      <c r="AG476" s="6"/>
      <c r="AH476" s="6"/>
      <c r="AI476" s="9"/>
      <c r="AJ476" s="8"/>
      <c r="AK476" s="6"/>
    </row>
    <row r="477" spans="1:37" s="7" customFormat="1" ht="39" customHeight="1" x14ac:dyDescent="0.25">
      <c r="A477" s="13"/>
      <c r="B477" s="21"/>
      <c r="C477" s="11"/>
      <c r="D477" s="11"/>
      <c r="E477" s="10"/>
      <c r="F477" s="10"/>
      <c r="G477" s="10"/>
      <c r="H477" s="10"/>
      <c r="I477" s="10"/>
      <c r="J477" s="10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9"/>
      <c r="AE477" s="8"/>
      <c r="AF477" s="6"/>
      <c r="AG477" s="6"/>
      <c r="AH477" s="6"/>
      <c r="AI477" s="9"/>
      <c r="AJ477" s="8"/>
      <c r="AK477" s="6"/>
    </row>
    <row r="478" spans="1:37" s="7" customFormat="1" ht="39" customHeight="1" x14ac:dyDescent="0.25">
      <c r="A478" s="13"/>
      <c r="B478" s="21"/>
      <c r="C478" s="11"/>
      <c r="D478" s="11"/>
      <c r="E478" s="10"/>
      <c r="F478" s="10"/>
      <c r="G478" s="10"/>
      <c r="H478" s="10"/>
      <c r="I478" s="10"/>
      <c r="J478" s="10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9"/>
      <c r="AE478" s="8"/>
      <c r="AF478" s="14"/>
      <c r="AG478" s="6"/>
      <c r="AH478" s="14"/>
      <c r="AI478" s="9"/>
      <c r="AJ478" s="8"/>
      <c r="AK478" s="6"/>
    </row>
    <row r="479" spans="1:37" s="7" customFormat="1" ht="39" customHeight="1" x14ac:dyDescent="0.25">
      <c r="A479" s="20"/>
      <c r="B479" s="19"/>
      <c r="C479" s="19"/>
      <c r="D479" s="19"/>
      <c r="E479" s="24"/>
      <c r="F479" s="24"/>
      <c r="G479" s="24"/>
      <c r="H479" s="24"/>
      <c r="I479" s="24"/>
      <c r="J479" s="24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7"/>
      <c r="AE479" s="16"/>
      <c r="AF479" s="15"/>
      <c r="AG479" s="15"/>
      <c r="AH479" s="15"/>
      <c r="AI479" s="17"/>
      <c r="AJ479" s="16"/>
      <c r="AK479" s="15"/>
    </row>
    <row r="480" spans="1:37" s="7" customFormat="1" ht="39" customHeight="1" x14ac:dyDescent="0.25">
      <c r="A480" s="13"/>
      <c r="B480" s="21"/>
      <c r="C480" s="11"/>
      <c r="D480" s="11"/>
      <c r="E480" s="10"/>
      <c r="F480" s="10"/>
      <c r="G480" s="10"/>
      <c r="H480" s="10"/>
      <c r="I480" s="10"/>
      <c r="J480" s="10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9"/>
      <c r="AE480" s="8"/>
      <c r="AF480" s="6"/>
      <c r="AG480" s="6"/>
      <c r="AH480" s="6"/>
      <c r="AI480" s="9"/>
      <c r="AJ480" s="8"/>
      <c r="AK480" s="6"/>
    </row>
    <row r="481" spans="1:37" s="7" customFormat="1" ht="39" customHeight="1" x14ac:dyDescent="0.25">
      <c r="A481" s="13"/>
      <c r="B481" s="21"/>
      <c r="C481" s="11"/>
      <c r="D481" s="11"/>
      <c r="E481" s="10"/>
      <c r="F481" s="10"/>
      <c r="G481" s="10"/>
      <c r="H481" s="10"/>
      <c r="I481" s="10"/>
      <c r="J481" s="10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9"/>
      <c r="AE481" s="8"/>
      <c r="AF481" s="6"/>
      <c r="AG481" s="6"/>
      <c r="AH481" s="14"/>
      <c r="AI481" s="9"/>
      <c r="AJ481" s="8"/>
      <c r="AK481" s="6"/>
    </row>
    <row r="482" spans="1:37" s="7" customFormat="1" ht="39" customHeight="1" x14ac:dyDescent="0.25">
      <c r="A482" s="13"/>
      <c r="B482" s="21"/>
      <c r="C482" s="11"/>
      <c r="D482" s="11"/>
      <c r="E482" s="10"/>
      <c r="F482" s="10"/>
      <c r="G482" s="10"/>
      <c r="H482" s="10"/>
      <c r="I482" s="10"/>
      <c r="J482" s="10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9"/>
      <c r="AE482" s="8"/>
      <c r="AF482" s="6"/>
      <c r="AG482" s="6"/>
      <c r="AH482" s="14"/>
      <c r="AI482" s="9"/>
      <c r="AJ482" s="8"/>
      <c r="AK482" s="6"/>
    </row>
    <row r="483" spans="1:37" s="7" customFormat="1" ht="39" customHeight="1" x14ac:dyDescent="0.25">
      <c r="A483" s="13"/>
      <c r="B483" s="21"/>
      <c r="C483" s="11"/>
      <c r="D483" s="11"/>
      <c r="E483" s="10"/>
      <c r="F483" s="10"/>
      <c r="G483" s="10"/>
      <c r="H483" s="10"/>
      <c r="I483" s="10"/>
      <c r="J483" s="10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9"/>
      <c r="AE483" s="8"/>
      <c r="AF483" s="14"/>
      <c r="AG483" s="6"/>
      <c r="AH483" s="14"/>
      <c r="AI483" s="9"/>
      <c r="AJ483" s="8"/>
      <c r="AK483" s="6"/>
    </row>
    <row r="484" spans="1:37" s="7" customFormat="1" ht="39" customHeight="1" x14ac:dyDescent="0.25">
      <c r="A484" s="13"/>
      <c r="B484" s="21"/>
      <c r="C484" s="11"/>
      <c r="D484" s="11"/>
      <c r="E484" s="10"/>
      <c r="F484" s="10"/>
      <c r="G484" s="10"/>
      <c r="H484" s="10"/>
      <c r="I484" s="10"/>
      <c r="J484" s="10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9"/>
      <c r="AE484" s="8"/>
      <c r="AF484" s="14"/>
      <c r="AG484" s="6"/>
      <c r="AH484" s="14"/>
      <c r="AI484" s="9"/>
      <c r="AJ484" s="8"/>
      <c r="AK484" s="6"/>
    </row>
    <row r="485" spans="1:37" s="7" customFormat="1" ht="39" customHeight="1" x14ac:dyDescent="0.25">
      <c r="A485" s="13"/>
      <c r="B485" s="21"/>
      <c r="C485" s="11"/>
      <c r="D485" s="11"/>
      <c r="E485" s="10"/>
      <c r="F485" s="10"/>
      <c r="G485" s="10"/>
      <c r="H485" s="10"/>
      <c r="I485" s="10"/>
      <c r="J485" s="10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9"/>
      <c r="AE485" s="8"/>
      <c r="AF485" s="6"/>
      <c r="AG485" s="6"/>
      <c r="AH485" s="6"/>
      <c r="AI485" s="9"/>
      <c r="AJ485" s="8"/>
      <c r="AK485" s="6"/>
    </row>
    <row r="486" spans="1:37" s="7" customFormat="1" ht="39" customHeight="1" x14ac:dyDescent="0.25">
      <c r="A486" s="13"/>
      <c r="B486" s="21"/>
      <c r="C486" s="11"/>
      <c r="D486" s="11"/>
      <c r="E486" s="6"/>
      <c r="F486" s="10"/>
      <c r="G486" s="10"/>
      <c r="H486" s="10"/>
      <c r="I486" s="10"/>
      <c r="J486" s="10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9"/>
      <c r="AE486" s="8"/>
      <c r="AF486" s="14"/>
      <c r="AG486" s="6"/>
      <c r="AH486" s="14"/>
      <c r="AI486" s="9"/>
      <c r="AJ486" s="8"/>
      <c r="AK486" s="6"/>
    </row>
    <row r="487" spans="1:37" s="7" customFormat="1" ht="39" customHeight="1" x14ac:dyDescent="0.25">
      <c r="A487" s="13"/>
      <c r="B487" s="21"/>
      <c r="C487" s="11"/>
      <c r="D487" s="11"/>
      <c r="E487" s="10"/>
      <c r="F487" s="10"/>
      <c r="G487" s="10"/>
      <c r="H487" s="10"/>
      <c r="I487" s="10"/>
      <c r="J487" s="10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9"/>
      <c r="AE487" s="8"/>
      <c r="AF487" s="6"/>
      <c r="AG487" s="6"/>
      <c r="AH487" s="6"/>
      <c r="AI487" s="9"/>
      <c r="AJ487" s="8"/>
      <c r="AK487" s="6"/>
    </row>
    <row r="488" spans="1:37" s="7" customFormat="1" ht="39" customHeight="1" x14ac:dyDescent="0.25">
      <c r="A488" s="13"/>
      <c r="B488" s="21"/>
      <c r="C488" s="11"/>
      <c r="D488" s="11"/>
      <c r="E488" s="6"/>
      <c r="F488" s="10"/>
      <c r="G488" s="10"/>
      <c r="H488" s="10"/>
      <c r="I488" s="10"/>
      <c r="J488" s="10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9"/>
      <c r="AE488" s="8"/>
      <c r="AF488" s="14"/>
      <c r="AG488" s="6"/>
      <c r="AH488" s="14"/>
      <c r="AI488" s="9"/>
      <c r="AJ488" s="8"/>
      <c r="AK488" s="6"/>
    </row>
    <row r="489" spans="1:37" s="7" customFormat="1" ht="39" customHeight="1" x14ac:dyDescent="0.25">
      <c r="A489" s="13"/>
      <c r="B489" s="21"/>
      <c r="C489" s="11"/>
      <c r="D489" s="11"/>
      <c r="E489" s="6"/>
      <c r="F489" s="10"/>
      <c r="G489" s="10"/>
      <c r="H489" s="10"/>
      <c r="I489" s="10"/>
      <c r="J489" s="10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9"/>
      <c r="AE489" s="8"/>
      <c r="AF489" s="6"/>
      <c r="AG489" s="6"/>
      <c r="AH489" s="6"/>
      <c r="AI489" s="9"/>
      <c r="AJ489" s="8"/>
      <c r="AK489" s="6"/>
    </row>
    <row r="490" spans="1:37" s="7" customFormat="1" ht="39" customHeight="1" x14ac:dyDescent="0.25">
      <c r="A490" s="13"/>
      <c r="B490" s="21"/>
      <c r="C490" s="11"/>
      <c r="D490" s="11"/>
      <c r="E490" s="10"/>
      <c r="F490" s="10"/>
      <c r="G490" s="10"/>
      <c r="H490" s="10"/>
      <c r="I490" s="10"/>
      <c r="J490" s="10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9"/>
      <c r="AE490" s="8"/>
      <c r="AF490" s="14"/>
      <c r="AG490" s="6"/>
      <c r="AH490" s="14"/>
      <c r="AI490" s="9"/>
      <c r="AJ490" s="8"/>
      <c r="AK490" s="6"/>
    </row>
    <row r="491" spans="1:37" s="7" customFormat="1" ht="39" customHeight="1" x14ac:dyDescent="0.25">
      <c r="A491" s="13"/>
      <c r="B491" s="21"/>
      <c r="C491" s="11"/>
      <c r="D491" s="11"/>
      <c r="E491" s="10"/>
      <c r="F491" s="10"/>
      <c r="G491" s="10"/>
      <c r="H491" s="10"/>
      <c r="I491" s="10"/>
      <c r="J491" s="10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9"/>
      <c r="AE491" s="8"/>
      <c r="AF491" s="6"/>
      <c r="AG491" s="6"/>
      <c r="AH491" s="6"/>
      <c r="AI491" s="9"/>
      <c r="AJ491" s="8"/>
      <c r="AK491" s="6"/>
    </row>
    <row r="492" spans="1:37" s="7" customFormat="1" ht="39" customHeight="1" x14ac:dyDescent="0.25">
      <c r="A492" s="13"/>
      <c r="B492" s="21"/>
      <c r="C492" s="11"/>
      <c r="D492" s="11"/>
      <c r="E492" s="10"/>
      <c r="F492" s="10"/>
      <c r="G492" s="10"/>
      <c r="H492" s="10"/>
      <c r="I492" s="10"/>
      <c r="J492" s="10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9"/>
      <c r="AE492" s="8"/>
      <c r="AF492" s="6"/>
      <c r="AG492" s="6"/>
      <c r="AH492" s="6"/>
      <c r="AI492" s="9"/>
      <c r="AJ492" s="8"/>
      <c r="AK492" s="6"/>
    </row>
    <row r="493" spans="1:37" s="7" customFormat="1" ht="39" customHeight="1" x14ac:dyDescent="0.25">
      <c r="A493" s="13"/>
      <c r="B493" s="12"/>
      <c r="C493" s="11"/>
      <c r="D493" s="21"/>
      <c r="E493" s="10"/>
      <c r="F493" s="10"/>
      <c r="G493" s="10"/>
      <c r="H493" s="10"/>
      <c r="I493" s="10"/>
      <c r="J493" s="10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9"/>
      <c r="AE493" s="8"/>
      <c r="AF493" s="14"/>
      <c r="AG493" s="6"/>
      <c r="AH493" s="14"/>
      <c r="AI493" s="9"/>
      <c r="AJ493" s="8"/>
      <c r="AK493" s="6"/>
    </row>
    <row r="494" spans="1:37" s="7" customFormat="1" ht="39" customHeight="1" x14ac:dyDescent="0.25">
      <c r="A494" s="13"/>
      <c r="B494" s="21"/>
      <c r="C494" s="11"/>
      <c r="D494" s="11"/>
      <c r="E494" s="10"/>
      <c r="F494" s="10"/>
      <c r="G494" s="10"/>
      <c r="H494" s="10"/>
      <c r="I494" s="10"/>
      <c r="J494" s="10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9"/>
      <c r="AE494" s="8"/>
      <c r="AF494" s="6"/>
      <c r="AG494" s="6"/>
      <c r="AH494" s="6"/>
      <c r="AI494" s="9"/>
      <c r="AJ494" s="8"/>
      <c r="AK494" s="6"/>
    </row>
    <row r="495" spans="1:37" s="7" customFormat="1" ht="39" customHeight="1" x14ac:dyDescent="0.25">
      <c r="A495" s="13"/>
      <c r="B495" s="12"/>
      <c r="C495" s="11"/>
      <c r="D495" s="11"/>
      <c r="E495" s="10"/>
      <c r="F495" s="10"/>
      <c r="G495" s="10"/>
      <c r="H495" s="10"/>
      <c r="I495" s="10"/>
      <c r="J495" s="10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9"/>
      <c r="AE495" s="8"/>
      <c r="AF495" s="14"/>
      <c r="AG495" s="6"/>
      <c r="AH495" s="14"/>
      <c r="AI495" s="9"/>
      <c r="AJ495" s="8"/>
      <c r="AK495" s="6"/>
    </row>
    <row r="496" spans="1:37" s="7" customFormat="1" ht="39" customHeight="1" x14ac:dyDescent="0.25">
      <c r="A496" s="13"/>
      <c r="B496" s="12"/>
      <c r="C496" s="11"/>
      <c r="D496" s="11"/>
      <c r="E496" s="10"/>
      <c r="F496" s="10"/>
      <c r="G496" s="10"/>
      <c r="H496" s="10"/>
      <c r="I496" s="10"/>
      <c r="J496" s="10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9"/>
      <c r="AE496" s="8"/>
      <c r="AF496" s="6"/>
      <c r="AG496" s="6"/>
      <c r="AH496" s="6"/>
      <c r="AI496" s="9"/>
      <c r="AJ496" s="8"/>
      <c r="AK496" s="6"/>
    </row>
    <row r="497" spans="1:37" s="7" customFormat="1" ht="39" customHeight="1" x14ac:dyDescent="0.25">
      <c r="A497" s="13"/>
      <c r="B497" s="12"/>
      <c r="C497" s="11"/>
      <c r="D497" s="11"/>
      <c r="E497" s="10"/>
      <c r="F497" s="10"/>
      <c r="G497" s="10"/>
      <c r="H497" s="10"/>
      <c r="I497" s="10"/>
      <c r="J497" s="10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9"/>
      <c r="AE497" s="8"/>
      <c r="AF497" s="6"/>
      <c r="AG497" s="6"/>
      <c r="AH497" s="6"/>
      <c r="AI497" s="9"/>
      <c r="AJ497" s="8"/>
      <c r="AK497" s="6"/>
    </row>
    <row r="498" spans="1:37" s="7" customFormat="1" ht="39" customHeight="1" x14ac:dyDescent="0.25">
      <c r="A498" s="13"/>
      <c r="B498" s="21"/>
      <c r="C498" s="11"/>
      <c r="D498" s="11"/>
      <c r="E498" s="10"/>
      <c r="F498" s="10"/>
      <c r="G498" s="10"/>
      <c r="H498" s="10"/>
      <c r="I498" s="10"/>
      <c r="J498" s="10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9"/>
      <c r="AE498" s="8"/>
      <c r="AF498" s="6"/>
      <c r="AG498" s="6"/>
      <c r="AH498" s="6"/>
      <c r="AI498" s="9"/>
      <c r="AJ498" s="8"/>
      <c r="AK498" s="6"/>
    </row>
    <row r="499" spans="1:37" s="7" customFormat="1" ht="39" customHeight="1" x14ac:dyDescent="0.25">
      <c r="A499" s="13"/>
      <c r="B499" s="12"/>
      <c r="C499" s="11"/>
      <c r="D499" s="11"/>
      <c r="E499" s="10"/>
      <c r="F499" s="10"/>
      <c r="G499" s="10"/>
      <c r="H499" s="10"/>
      <c r="I499" s="10"/>
      <c r="J499" s="10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9"/>
      <c r="AE499" s="8"/>
      <c r="AF499" s="14"/>
      <c r="AG499" s="6"/>
      <c r="AH499" s="14"/>
      <c r="AI499" s="9"/>
      <c r="AJ499" s="8"/>
      <c r="AK499" s="6"/>
    </row>
    <row r="500" spans="1:37" s="7" customFormat="1" ht="39" customHeight="1" x14ac:dyDescent="0.25">
      <c r="A500" s="13"/>
      <c r="B500" s="12"/>
      <c r="C500" s="11"/>
      <c r="D500" s="11"/>
      <c r="E500" s="10"/>
      <c r="F500" s="10"/>
      <c r="G500" s="10"/>
      <c r="H500" s="10"/>
      <c r="I500" s="10"/>
      <c r="J500" s="10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9"/>
      <c r="AE500" s="8"/>
      <c r="AF500" s="14"/>
      <c r="AG500" s="6"/>
      <c r="AH500" s="14"/>
      <c r="AI500" s="9"/>
      <c r="AJ500" s="8"/>
      <c r="AK500" s="6"/>
    </row>
    <row r="501" spans="1:37" s="7" customFormat="1" ht="39" customHeight="1" x14ac:dyDescent="0.25">
      <c r="A501" s="13"/>
      <c r="B501" s="21"/>
      <c r="C501" s="11"/>
      <c r="D501" s="11"/>
      <c r="E501" s="10"/>
      <c r="F501" s="10"/>
      <c r="G501" s="10"/>
      <c r="H501" s="10"/>
      <c r="I501" s="10"/>
      <c r="J501" s="10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9"/>
      <c r="AE501" s="8"/>
      <c r="AF501" s="6"/>
      <c r="AG501" s="6"/>
      <c r="AH501" s="6"/>
      <c r="AI501" s="9"/>
      <c r="AJ501" s="8"/>
      <c r="AK501" s="6"/>
    </row>
    <row r="502" spans="1:37" s="7" customFormat="1" ht="39" customHeight="1" x14ac:dyDescent="0.25">
      <c r="A502" s="13"/>
      <c r="B502" s="21"/>
      <c r="C502" s="11"/>
      <c r="D502" s="11"/>
      <c r="E502" s="21"/>
      <c r="F502" s="21"/>
      <c r="G502" s="21"/>
      <c r="H502" s="21"/>
      <c r="I502" s="21"/>
      <c r="J502" s="21"/>
      <c r="K502" s="21"/>
      <c r="L502" s="6"/>
      <c r="M502" s="21"/>
      <c r="N502" s="21"/>
      <c r="O502" s="21"/>
      <c r="P502" s="21"/>
      <c r="Q502" s="21"/>
      <c r="R502" s="6"/>
      <c r="S502" s="6"/>
      <c r="T502" s="6"/>
      <c r="U502" s="21"/>
      <c r="V502" s="21"/>
      <c r="W502" s="6"/>
      <c r="X502" s="6"/>
      <c r="Y502" s="6"/>
      <c r="Z502" s="6"/>
      <c r="AA502" s="6"/>
      <c r="AB502" s="6"/>
      <c r="AC502" s="22"/>
      <c r="AD502" s="9"/>
      <c r="AE502" s="8"/>
      <c r="AF502" s="6"/>
      <c r="AG502" s="6"/>
      <c r="AH502" s="6"/>
      <c r="AI502" s="9"/>
      <c r="AJ502" s="8"/>
      <c r="AK502" s="6"/>
    </row>
    <row r="503" spans="1:37" s="7" customFormat="1" ht="39" customHeight="1" x14ac:dyDescent="0.25">
      <c r="A503" s="13"/>
      <c r="B503" s="12"/>
      <c r="C503" s="11"/>
      <c r="D503" s="11"/>
      <c r="E503" s="10"/>
      <c r="F503" s="10"/>
      <c r="G503" s="10"/>
      <c r="H503" s="10"/>
      <c r="I503" s="10"/>
      <c r="J503" s="10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9"/>
      <c r="AE503" s="8"/>
      <c r="AF503" s="6"/>
      <c r="AG503" s="6"/>
      <c r="AH503" s="6"/>
      <c r="AI503" s="9"/>
      <c r="AJ503" s="8"/>
      <c r="AK503" s="6"/>
    </row>
    <row r="504" spans="1:37" s="7" customFormat="1" ht="39" customHeight="1" x14ac:dyDescent="0.25">
      <c r="A504" s="13"/>
      <c r="B504" s="21"/>
      <c r="C504" s="11"/>
      <c r="D504" s="11"/>
      <c r="E504" s="10"/>
      <c r="F504" s="10"/>
      <c r="G504" s="10"/>
      <c r="H504" s="10"/>
      <c r="I504" s="10"/>
      <c r="J504" s="10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9"/>
      <c r="AE504" s="8"/>
      <c r="AF504" s="14"/>
      <c r="AG504" s="6"/>
      <c r="AH504" s="14"/>
      <c r="AI504" s="9"/>
      <c r="AJ504" s="8"/>
      <c r="AK504" s="6"/>
    </row>
    <row r="505" spans="1:37" s="7" customFormat="1" ht="39" customHeight="1" x14ac:dyDescent="0.25">
      <c r="A505" s="13"/>
      <c r="B505" s="21"/>
      <c r="C505" s="11"/>
      <c r="D505" s="11"/>
      <c r="E505" s="10"/>
      <c r="F505" s="10"/>
      <c r="G505" s="10"/>
      <c r="H505" s="10"/>
      <c r="I505" s="10"/>
      <c r="J505" s="10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9"/>
      <c r="AE505" s="8"/>
      <c r="AF505" s="6"/>
      <c r="AG505" s="6"/>
      <c r="AH505" s="6"/>
      <c r="AI505" s="9"/>
      <c r="AJ505" s="8"/>
      <c r="AK505" s="6"/>
    </row>
    <row r="506" spans="1:37" s="7" customFormat="1" ht="39" customHeight="1" x14ac:dyDescent="0.25">
      <c r="A506" s="20"/>
      <c r="B506" s="19"/>
      <c r="C506" s="19"/>
      <c r="D506" s="19"/>
      <c r="E506" s="24"/>
      <c r="F506" s="24"/>
      <c r="G506" s="24"/>
      <c r="H506" s="24"/>
      <c r="I506" s="24"/>
      <c r="J506" s="24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7"/>
      <c r="AE506" s="16"/>
      <c r="AF506" s="15"/>
      <c r="AG506" s="15"/>
      <c r="AH506" s="15"/>
      <c r="AI506" s="17"/>
      <c r="AJ506" s="16"/>
      <c r="AK506" s="15"/>
    </row>
    <row r="507" spans="1:37" s="7" customFormat="1" ht="39" customHeight="1" x14ac:dyDescent="0.25">
      <c r="A507" s="13"/>
      <c r="B507" s="21"/>
      <c r="C507" s="11"/>
      <c r="D507" s="11"/>
      <c r="E507" s="10"/>
      <c r="F507" s="10"/>
      <c r="G507" s="10"/>
      <c r="H507" s="10"/>
      <c r="I507" s="10"/>
      <c r="J507" s="10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9"/>
      <c r="AE507" s="8"/>
      <c r="AF507" s="6"/>
      <c r="AG507" s="6"/>
      <c r="AH507" s="14"/>
      <c r="AI507" s="9"/>
      <c r="AJ507" s="8"/>
      <c r="AK507" s="6"/>
    </row>
    <row r="508" spans="1:37" s="7" customFormat="1" ht="39" customHeight="1" x14ac:dyDescent="0.25">
      <c r="A508" s="13"/>
      <c r="B508" s="21"/>
      <c r="C508" s="11"/>
      <c r="D508" s="11"/>
      <c r="E508" s="10"/>
      <c r="F508" s="10"/>
      <c r="G508" s="10"/>
      <c r="H508" s="10"/>
      <c r="I508" s="10"/>
      <c r="J508" s="10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9"/>
      <c r="AE508" s="8"/>
      <c r="AF508" s="6"/>
      <c r="AG508" s="6"/>
      <c r="AH508" s="14"/>
      <c r="AI508" s="9"/>
      <c r="AJ508" s="8"/>
      <c r="AK508" s="6"/>
    </row>
    <row r="509" spans="1:37" s="7" customFormat="1" ht="39" customHeight="1" x14ac:dyDescent="0.25">
      <c r="A509" s="13"/>
      <c r="B509" s="21"/>
      <c r="C509" s="11"/>
      <c r="D509" s="11"/>
      <c r="E509" s="10"/>
      <c r="F509" s="10"/>
      <c r="G509" s="10"/>
      <c r="H509" s="10"/>
      <c r="I509" s="10"/>
      <c r="J509" s="10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9"/>
      <c r="AE509" s="8"/>
      <c r="AF509" s="14"/>
      <c r="AG509" s="6"/>
      <c r="AH509" s="14"/>
      <c r="AI509" s="9"/>
      <c r="AJ509" s="8"/>
      <c r="AK509" s="6"/>
    </row>
    <row r="510" spans="1:37" s="7" customFormat="1" ht="39" customHeight="1" x14ac:dyDescent="0.25">
      <c r="A510" s="13"/>
      <c r="B510" s="21"/>
      <c r="C510" s="11"/>
      <c r="D510" s="11"/>
      <c r="E510" s="10"/>
      <c r="F510" s="10"/>
      <c r="G510" s="10"/>
      <c r="H510" s="10"/>
      <c r="I510" s="10"/>
      <c r="J510" s="10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9"/>
      <c r="AE510" s="8"/>
      <c r="AF510" s="14"/>
      <c r="AG510" s="6"/>
      <c r="AH510" s="14"/>
      <c r="AI510" s="9"/>
      <c r="AJ510" s="8"/>
      <c r="AK510" s="6"/>
    </row>
    <row r="511" spans="1:37" s="7" customFormat="1" ht="39" customHeight="1" x14ac:dyDescent="0.25">
      <c r="A511" s="13"/>
      <c r="B511" s="21"/>
      <c r="C511" s="11"/>
      <c r="D511" s="11"/>
      <c r="E511" s="10"/>
      <c r="F511" s="10"/>
      <c r="G511" s="10"/>
      <c r="H511" s="10"/>
      <c r="I511" s="10"/>
      <c r="J511" s="10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9"/>
      <c r="AE511" s="8"/>
      <c r="AF511" s="6"/>
      <c r="AG511" s="6"/>
      <c r="AH511" s="6"/>
      <c r="AI511" s="9"/>
      <c r="AJ511" s="8"/>
      <c r="AK511" s="6"/>
    </row>
    <row r="512" spans="1:37" s="7" customFormat="1" ht="39" customHeight="1" x14ac:dyDescent="0.25">
      <c r="A512" s="13"/>
      <c r="B512" s="21"/>
      <c r="C512" s="11"/>
      <c r="D512" s="11"/>
      <c r="E512" s="6"/>
      <c r="F512" s="10"/>
      <c r="G512" s="10"/>
      <c r="H512" s="10"/>
      <c r="I512" s="10"/>
      <c r="J512" s="10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9"/>
      <c r="AE512" s="8"/>
      <c r="AF512" s="14"/>
      <c r="AG512" s="6"/>
      <c r="AH512" s="14"/>
      <c r="AI512" s="9"/>
      <c r="AJ512" s="8"/>
      <c r="AK512" s="6"/>
    </row>
    <row r="513" spans="1:37" s="7" customFormat="1" ht="39" customHeight="1" x14ac:dyDescent="0.25">
      <c r="A513" s="13"/>
      <c r="B513" s="21"/>
      <c r="C513" s="11"/>
      <c r="D513" s="11"/>
      <c r="E513" s="10"/>
      <c r="F513" s="10"/>
      <c r="G513" s="10"/>
      <c r="H513" s="10"/>
      <c r="I513" s="10"/>
      <c r="J513" s="10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9"/>
      <c r="AE513" s="8"/>
      <c r="AF513" s="6"/>
      <c r="AG513" s="6"/>
      <c r="AH513" s="6"/>
      <c r="AI513" s="9"/>
      <c r="AJ513" s="8"/>
      <c r="AK513" s="6"/>
    </row>
    <row r="514" spans="1:37" s="7" customFormat="1" ht="39" customHeight="1" x14ac:dyDescent="0.25">
      <c r="A514" s="13"/>
      <c r="B514" s="21"/>
      <c r="C514" s="11"/>
      <c r="D514" s="11"/>
      <c r="E514" s="6"/>
      <c r="F514" s="10"/>
      <c r="G514" s="10"/>
      <c r="H514" s="10"/>
      <c r="I514" s="10"/>
      <c r="J514" s="10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9"/>
      <c r="AE514" s="8"/>
      <c r="AF514" s="14"/>
      <c r="AG514" s="6"/>
      <c r="AH514" s="14"/>
      <c r="AI514" s="9"/>
      <c r="AJ514" s="8"/>
      <c r="AK514" s="6"/>
    </row>
    <row r="515" spans="1:37" s="7" customFormat="1" ht="39" customHeight="1" x14ac:dyDescent="0.25">
      <c r="A515" s="13"/>
      <c r="B515" s="21"/>
      <c r="C515" s="11"/>
      <c r="D515" s="11"/>
      <c r="E515" s="6"/>
      <c r="F515" s="10"/>
      <c r="G515" s="10"/>
      <c r="H515" s="10"/>
      <c r="I515" s="10"/>
      <c r="J515" s="10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9"/>
      <c r="AE515" s="8"/>
      <c r="AF515" s="6"/>
      <c r="AG515" s="6"/>
      <c r="AH515" s="6"/>
      <c r="AI515" s="9"/>
      <c r="AJ515" s="8"/>
      <c r="AK515" s="6"/>
    </row>
    <row r="516" spans="1:37" s="7" customFormat="1" ht="39" customHeight="1" x14ac:dyDescent="0.25">
      <c r="A516" s="13"/>
      <c r="B516" s="21"/>
      <c r="C516" s="11"/>
      <c r="D516" s="11"/>
      <c r="E516" s="10"/>
      <c r="F516" s="10"/>
      <c r="G516" s="10"/>
      <c r="H516" s="10"/>
      <c r="I516" s="10"/>
      <c r="J516" s="10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9"/>
      <c r="AE516" s="8"/>
      <c r="AF516" s="14"/>
      <c r="AG516" s="6"/>
      <c r="AH516" s="14"/>
      <c r="AI516" s="9"/>
      <c r="AJ516" s="8"/>
      <c r="AK516" s="6"/>
    </row>
    <row r="517" spans="1:37" s="7" customFormat="1" ht="39" customHeight="1" x14ac:dyDescent="0.25">
      <c r="A517" s="13"/>
      <c r="B517" s="21"/>
      <c r="C517" s="11"/>
      <c r="D517" s="11"/>
      <c r="E517" s="10"/>
      <c r="F517" s="10"/>
      <c r="G517" s="10"/>
      <c r="H517" s="10"/>
      <c r="I517" s="10"/>
      <c r="J517" s="10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9"/>
      <c r="AE517" s="8"/>
      <c r="AF517" s="6"/>
      <c r="AG517" s="6"/>
      <c r="AH517" s="6"/>
      <c r="AI517" s="9"/>
      <c r="AJ517" s="8"/>
      <c r="AK517" s="6"/>
    </row>
    <row r="518" spans="1:37" s="7" customFormat="1" ht="39" customHeight="1" x14ac:dyDescent="0.25">
      <c r="A518" s="13"/>
      <c r="B518" s="21"/>
      <c r="C518" s="11"/>
      <c r="D518" s="11"/>
      <c r="E518" s="10"/>
      <c r="F518" s="10"/>
      <c r="G518" s="10"/>
      <c r="H518" s="10"/>
      <c r="I518" s="10"/>
      <c r="J518" s="10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9"/>
      <c r="AE518" s="8"/>
      <c r="AF518" s="6"/>
      <c r="AG518" s="6"/>
      <c r="AH518" s="6"/>
      <c r="AI518" s="9"/>
      <c r="AJ518" s="8"/>
      <c r="AK518" s="6"/>
    </row>
    <row r="519" spans="1:37" s="7" customFormat="1" ht="39" customHeight="1" x14ac:dyDescent="0.25">
      <c r="A519" s="13"/>
      <c r="B519" s="21"/>
      <c r="C519" s="11"/>
      <c r="D519" s="11"/>
      <c r="E519" s="10"/>
      <c r="F519" s="10"/>
      <c r="G519" s="10"/>
      <c r="H519" s="10"/>
      <c r="I519" s="10"/>
      <c r="J519" s="10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9"/>
      <c r="AE519" s="8"/>
      <c r="AF519" s="14"/>
      <c r="AG519" s="6"/>
      <c r="AH519" s="14"/>
      <c r="AI519" s="9"/>
      <c r="AJ519" s="8"/>
      <c r="AK519" s="6"/>
    </row>
    <row r="520" spans="1:37" s="7" customFormat="1" ht="39" customHeight="1" x14ac:dyDescent="0.25">
      <c r="A520" s="13"/>
      <c r="B520" s="12"/>
      <c r="C520" s="11"/>
      <c r="D520" s="21"/>
      <c r="E520" s="10"/>
      <c r="F520" s="10"/>
      <c r="G520" s="10"/>
      <c r="H520" s="10"/>
      <c r="I520" s="10"/>
      <c r="J520" s="10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9"/>
      <c r="AE520" s="8"/>
      <c r="AF520" s="6"/>
      <c r="AG520" s="6"/>
      <c r="AH520" s="6"/>
      <c r="AI520" s="9"/>
      <c r="AJ520" s="8"/>
      <c r="AK520" s="6"/>
    </row>
    <row r="521" spans="1:37" s="7" customFormat="1" ht="39" customHeight="1" x14ac:dyDescent="0.25">
      <c r="A521" s="13"/>
      <c r="B521" s="21"/>
      <c r="C521" s="11"/>
      <c r="D521" s="11"/>
      <c r="E521" s="10"/>
      <c r="F521" s="10"/>
      <c r="G521" s="10"/>
      <c r="H521" s="10"/>
      <c r="I521" s="10"/>
      <c r="J521" s="10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9"/>
      <c r="AE521" s="8"/>
      <c r="AF521" s="14"/>
      <c r="AG521" s="6"/>
      <c r="AH521" s="14"/>
      <c r="AI521" s="9"/>
      <c r="AJ521" s="8"/>
      <c r="AK521" s="6"/>
    </row>
    <row r="522" spans="1:37" s="7" customFormat="1" ht="39" customHeight="1" x14ac:dyDescent="0.25">
      <c r="A522" s="13"/>
      <c r="B522" s="12"/>
      <c r="C522" s="11"/>
      <c r="D522" s="11"/>
      <c r="E522" s="6"/>
      <c r="F522" s="10"/>
      <c r="G522" s="10"/>
      <c r="H522" s="10"/>
      <c r="I522" s="10"/>
      <c r="J522" s="10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9"/>
      <c r="AE522" s="8"/>
      <c r="AF522" s="6"/>
      <c r="AG522" s="6"/>
      <c r="AH522" s="6"/>
      <c r="AI522" s="9"/>
      <c r="AJ522" s="8"/>
      <c r="AK522" s="6"/>
    </row>
    <row r="523" spans="1:37" s="7" customFormat="1" ht="39" customHeight="1" x14ac:dyDescent="0.25">
      <c r="A523" s="13"/>
      <c r="B523" s="12"/>
      <c r="C523" s="11"/>
      <c r="D523" s="11"/>
      <c r="E523" s="10"/>
      <c r="F523" s="10"/>
      <c r="G523" s="10"/>
      <c r="H523" s="10"/>
      <c r="I523" s="10"/>
      <c r="J523" s="10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9"/>
      <c r="AE523" s="8"/>
      <c r="AF523" s="6"/>
      <c r="AG523" s="6"/>
      <c r="AH523" s="6"/>
      <c r="AI523" s="9"/>
      <c r="AJ523" s="8"/>
      <c r="AK523" s="6"/>
    </row>
    <row r="524" spans="1:37" s="7" customFormat="1" ht="39" customHeight="1" x14ac:dyDescent="0.25">
      <c r="A524" s="13"/>
      <c r="B524" s="12"/>
      <c r="C524" s="11"/>
      <c r="D524" s="11"/>
      <c r="E524" s="10"/>
      <c r="F524" s="10"/>
      <c r="G524" s="10"/>
      <c r="H524" s="10"/>
      <c r="I524" s="10"/>
      <c r="J524" s="10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9"/>
      <c r="AE524" s="8"/>
      <c r="AF524" s="6"/>
      <c r="AG524" s="6"/>
      <c r="AH524" s="6"/>
      <c r="AI524" s="9"/>
      <c r="AJ524" s="8"/>
      <c r="AK524" s="6"/>
    </row>
    <row r="525" spans="1:37" s="7" customFormat="1" ht="39" customHeight="1" x14ac:dyDescent="0.25">
      <c r="A525" s="13"/>
      <c r="B525" s="21"/>
      <c r="C525" s="11"/>
      <c r="D525" s="11"/>
      <c r="E525" s="10"/>
      <c r="F525" s="10"/>
      <c r="G525" s="10"/>
      <c r="H525" s="10"/>
      <c r="I525" s="10"/>
      <c r="J525" s="10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9"/>
      <c r="AE525" s="8"/>
      <c r="AF525" s="14"/>
      <c r="AG525" s="6"/>
      <c r="AH525" s="14"/>
      <c r="AI525" s="9"/>
      <c r="AJ525" s="8"/>
      <c r="AK525" s="6"/>
    </row>
    <row r="526" spans="1:37" s="7" customFormat="1" ht="39" customHeight="1" x14ac:dyDescent="0.25">
      <c r="A526" s="13"/>
      <c r="B526" s="12"/>
      <c r="C526" s="11"/>
      <c r="D526" s="11"/>
      <c r="E526" s="10"/>
      <c r="F526" s="10"/>
      <c r="G526" s="10"/>
      <c r="H526" s="10"/>
      <c r="I526" s="10"/>
      <c r="J526" s="10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9"/>
      <c r="AE526" s="8"/>
      <c r="AF526" s="14"/>
      <c r="AG526" s="6"/>
      <c r="AH526" s="14"/>
      <c r="AI526" s="9"/>
      <c r="AJ526" s="8"/>
      <c r="AK526" s="6"/>
    </row>
    <row r="527" spans="1:37" s="7" customFormat="1" ht="39" customHeight="1" x14ac:dyDescent="0.25">
      <c r="A527" s="13"/>
      <c r="B527" s="12"/>
      <c r="C527" s="11"/>
      <c r="D527" s="11"/>
      <c r="E527" s="10"/>
      <c r="F527" s="10"/>
      <c r="G527" s="10"/>
      <c r="H527" s="10"/>
      <c r="I527" s="10"/>
      <c r="J527" s="10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9"/>
      <c r="AE527" s="8"/>
      <c r="AF527" s="6"/>
      <c r="AG527" s="6"/>
      <c r="AH527" s="6"/>
      <c r="AI527" s="9"/>
      <c r="AJ527" s="8"/>
      <c r="AK527" s="6"/>
    </row>
    <row r="528" spans="1:37" s="7" customFormat="1" ht="39" customHeight="1" x14ac:dyDescent="0.25">
      <c r="A528" s="13"/>
      <c r="B528" s="21"/>
      <c r="C528" s="11"/>
      <c r="D528" s="11"/>
      <c r="E528" s="21"/>
      <c r="F528" s="21"/>
      <c r="G528" s="21"/>
      <c r="H528" s="21"/>
      <c r="I528" s="21"/>
      <c r="J528" s="21"/>
      <c r="K528" s="21"/>
      <c r="L528" s="6"/>
      <c r="M528" s="21"/>
      <c r="N528" s="21"/>
      <c r="O528" s="21"/>
      <c r="P528" s="21"/>
      <c r="Q528" s="21"/>
      <c r="R528" s="6"/>
      <c r="S528" s="6"/>
      <c r="T528" s="6"/>
      <c r="U528" s="21"/>
      <c r="V528" s="21"/>
      <c r="W528" s="6"/>
      <c r="X528" s="6"/>
      <c r="Y528" s="6"/>
      <c r="Z528" s="6"/>
      <c r="AA528" s="6"/>
      <c r="AB528" s="6"/>
      <c r="AC528" s="22"/>
      <c r="AD528" s="9"/>
      <c r="AE528" s="8"/>
      <c r="AF528" s="6"/>
      <c r="AG528" s="6"/>
      <c r="AH528" s="6"/>
      <c r="AI528" s="9"/>
      <c r="AJ528" s="8"/>
      <c r="AK528" s="6"/>
    </row>
    <row r="529" spans="1:37" s="7" customFormat="1" ht="39" customHeight="1" x14ac:dyDescent="0.25">
      <c r="A529" s="13"/>
      <c r="B529" s="21"/>
      <c r="C529" s="11"/>
      <c r="D529" s="11"/>
      <c r="E529" s="10"/>
      <c r="F529" s="10"/>
      <c r="G529" s="10"/>
      <c r="H529" s="10"/>
      <c r="I529" s="10"/>
      <c r="J529" s="10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9"/>
      <c r="AE529" s="8"/>
      <c r="AF529" s="6"/>
      <c r="AG529" s="6"/>
      <c r="AH529" s="6"/>
      <c r="AI529" s="9"/>
      <c r="AJ529" s="8"/>
      <c r="AK529" s="6"/>
    </row>
    <row r="530" spans="1:37" s="7" customFormat="1" ht="39" customHeight="1" x14ac:dyDescent="0.25">
      <c r="A530" s="13"/>
      <c r="B530" s="12"/>
      <c r="C530" s="11"/>
      <c r="D530" s="11"/>
      <c r="E530" s="10"/>
      <c r="F530" s="10"/>
      <c r="G530" s="10"/>
      <c r="H530" s="10"/>
      <c r="I530" s="10"/>
      <c r="J530" s="10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9"/>
      <c r="AE530" s="8"/>
      <c r="AF530" s="14"/>
      <c r="AG530" s="6"/>
      <c r="AH530" s="14"/>
      <c r="AI530" s="9"/>
      <c r="AJ530" s="8"/>
      <c r="AK530" s="6"/>
    </row>
    <row r="531" spans="1:37" s="7" customFormat="1" ht="39" customHeight="1" x14ac:dyDescent="0.25">
      <c r="A531" s="13"/>
      <c r="B531" s="21"/>
      <c r="C531" s="11"/>
      <c r="D531" s="11"/>
      <c r="E531" s="10"/>
      <c r="F531" s="10"/>
      <c r="G531" s="10"/>
      <c r="H531" s="10"/>
      <c r="I531" s="10"/>
      <c r="J531" s="10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9"/>
      <c r="AE531" s="8"/>
      <c r="AF531" s="6"/>
      <c r="AG531" s="6"/>
      <c r="AH531" s="6"/>
      <c r="AI531" s="9"/>
      <c r="AJ531" s="8"/>
      <c r="AK531" s="6"/>
    </row>
    <row r="532" spans="1:37" s="7" customFormat="1" ht="39" customHeight="1" x14ac:dyDescent="0.25">
      <c r="A532" s="13"/>
      <c r="B532" s="21"/>
      <c r="C532" s="11"/>
      <c r="D532" s="11"/>
      <c r="E532" s="10"/>
      <c r="F532" s="10"/>
      <c r="G532" s="10"/>
      <c r="H532" s="10"/>
      <c r="I532" s="10"/>
      <c r="J532" s="10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9"/>
      <c r="AE532" s="8"/>
      <c r="AF532" s="6"/>
      <c r="AG532" s="6"/>
      <c r="AH532" s="6"/>
      <c r="AI532" s="9"/>
      <c r="AJ532" s="8"/>
      <c r="AK532" s="6"/>
    </row>
    <row r="533" spans="1:37" s="7" customFormat="1" ht="39" customHeight="1" x14ac:dyDescent="0.25">
      <c r="A533" s="20"/>
      <c r="B533" s="19"/>
      <c r="C533" s="19"/>
      <c r="D533" s="19"/>
      <c r="E533" s="24"/>
      <c r="F533" s="24"/>
      <c r="G533" s="24"/>
      <c r="H533" s="24"/>
      <c r="I533" s="24"/>
      <c r="J533" s="24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7"/>
      <c r="AE533" s="16"/>
      <c r="AF533" s="15"/>
      <c r="AG533" s="15"/>
      <c r="AH533" s="23"/>
      <c r="AI533" s="17"/>
      <c r="AJ533" s="16"/>
      <c r="AK533" s="15"/>
    </row>
    <row r="534" spans="1:37" s="7" customFormat="1" ht="39" customHeight="1" x14ac:dyDescent="0.25">
      <c r="A534" s="13"/>
      <c r="B534" s="21"/>
      <c r="C534" s="11"/>
      <c r="D534" s="11"/>
      <c r="E534" s="10"/>
      <c r="F534" s="10"/>
      <c r="G534" s="10"/>
      <c r="H534" s="10"/>
      <c r="I534" s="10"/>
      <c r="J534" s="10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9"/>
      <c r="AE534" s="8"/>
      <c r="AF534" s="6"/>
      <c r="AG534" s="6"/>
      <c r="AH534" s="14"/>
      <c r="AI534" s="9"/>
      <c r="AJ534" s="8"/>
      <c r="AK534" s="6"/>
    </row>
    <row r="535" spans="1:37" s="7" customFormat="1" ht="39" customHeight="1" x14ac:dyDescent="0.25">
      <c r="A535" s="13"/>
      <c r="B535" s="21"/>
      <c r="C535" s="11"/>
      <c r="D535" s="11"/>
      <c r="E535" s="10"/>
      <c r="F535" s="10"/>
      <c r="G535" s="10"/>
      <c r="H535" s="10"/>
      <c r="I535" s="10"/>
      <c r="J535" s="10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9"/>
      <c r="AE535" s="8"/>
      <c r="AF535" s="14"/>
      <c r="AG535" s="6"/>
      <c r="AH535" s="14"/>
      <c r="AI535" s="9"/>
      <c r="AJ535" s="8"/>
      <c r="AK535" s="6"/>
    </row>
    <row r="536" spans="1:37" s="7" customFormat="1" ht="39" customHeight="1" x14ac:dyDescent="0.25">
      <c r="A536" s="13"/>
      <c r="B536" s="21"/>
      <c r="C536" s="11"/>
      <c r="D536" s="11"/>
      <c r="E536" s="10"/>
      <c r="F536" s="10"/>
      <c r="G536" s="10"/>
      <c r="H536" s="10"/>
      <c r="I536" s="10"/>
      <c r="J536" s="10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9"/>
      <c r="AE536" s="8"/>
      <c r="AF536" s="14"/>
      <c r="AG536" s="6"/>
      <c r="AH536" s="14"/>
      <c r="AI536" s="9"/>
      <c r="AJ536" s="8"/>
      <c r="AK536" s="6"/>
    </row>
    <row r="537" spans="1:37" s="7" customFormat="1" ht="39" customHeight="1" x14ac:dyDescent="0.25">
      <c r="A537" s="13"/>
      <c r="B537" s="21"/>
      <c r="C537" s="11"/>
      <c r="D537" s="11"/>
      <c r="E537" s="10"/>
      <c r="F537" s="10"/>
      <c r="G537" s="10"/>
      <c r="H537" s="10"/>
      <c r="I537" s="10"/>
      <c r="J537" s="10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9"/>
      <c r="AE537" s="8"/>
      <c r="AF537" s="6"/>
      <c r="AG537" s="6"/>
      <c r="AH537" s="6"/>
      <c r="AI537" s="9"/>
      <c r="AJ537" s="8"/>
      <c r="AK537" s="6"/>
    </row>
    <row r="538" spans="1:37" s="7" customFormat="1" ht="39" customHeight="1" x14ac:dyDescent="0.25">
      <c r="A538" s="13"/>
      <c r="B538" s="21"/>
      <c r="C538" s="11"/>
      <c r="D538" s="11"/>
      <c r="E538" s="6"/>
      <c r="F538" s="10"/>
      <c r="G538" s="10"/>
      <c r="H538" s="10"/>
      <c r="I538" s="10"/>
      <c r="J538" s="10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9"/>
      <c r="AE538" s="8"/>
      <c r="AF538" s="14"/>
      <c r="AG538" s="6"/>
      <c r="AH538" s="14"/>
      <c r="AI538" s="9"/>
      <c r="AJ538" s="8"/>
      <c r="AK538" s="6"/>
    </row>
    <row r="539" spans="1:37" s="7" customFormat="1" ht="39" customHeight="1" x14ac:dyDescent="0.25">
      <c r="A539" s="13"/>
      <c r="B539" s="21"/>
      <c r="C539" s="11"/>
      <c r="D539" s="11"/>
      <c r="E539" s="10"/>
      <c r="F539" s="10"/>
      <c r="G539" s="10"/>
      <c r="H539" s="10"/>
      <c r="I539" s="10"/>
      <c r="J539" s="10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9"/>
      <c r="AE539" s="8"/>
      <c r="AF539" s="6"/>
      <c r="AG539" s="6"/>
      <c r="AH539" s="6"/>
      <c r="AI539" s="9"/>
      <c r="AJ539" s="8"/>
      <c r="AK539" s="6"/>
    </row>
    <row r="540" spans="1:37" s="7" customFormat="1" ht="39" customHeight="1" x14ac:dyDescent="0.25">
      <c r="A540" s="13"/>
      <c r="B540" s="21"/>
      <c r="C540" s="11"/>
      <c r="D540" s="11"/>
      <c r="E540" s="6"/>
      <c r="F540" s="10"/>
      <c r="G540" s="10"/>
      <c r="H540" s="10"/>
      <c r="I540" s="10"/>
      <c r="J540" s="10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9"/>
      <c r="AE540" s="8"/>
      <c r="AF540" s="14"/>
      <c r="AG540" s="6"/>
      <c r="AH540" s="14"/>
      <c r="AI540" s="9"/>
      <c r="AJ540" s="8"/>
      <c r="AK540" s="6"/>
    </row>
    <row r="541" spans="1:37" s="7" customFormat="1" ht="39" customHeight="1" x14ac:dyDescent="0.25">
      <c r="A541" s="13"/>
      <c r="B541" s="21"/>
      <c r="C541" s="11"/>
      <c r="D541" s="11"/>
      <c r="E541" s="6"/>
      <c r="F541" s="10"/>
      <c r="G541" s="10"/>
      <c r="H541" s="10"/>
      <c r="I541" s="10"/>
      <c r="J541" s="10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9"/>
      <c r="AE541" s="8"/>
      <c r="AF541" s="6"/>
      <c r="AG541" s="6"/>
      <c r="AH541" s="6"/>
      <c r="AI541" s="9"/>
      <c r="AJ541" s="8"/>
      <c r="AK541" s="6"/>
    </row>
    <row r="542" spans="1:37" s="7" customFormat="1" ht="39" customHeight="1" x14ac:dyDescent="0.25">
      <c r="A542" s="13"/>
      <c r="B542" s="21"/>
      <c r="C542" s="11"/>
      <c r="D542" s="11"/>
      <c r="E542" s="10"/>
      <c r="F542" s="10"/>
      <c r="G542" s="10"/>
      <c r="H542" s="10"/>
      <c r="I542" s="10"/>
      <c r="J542" s="10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9"/>
      <c r="AE542" s="8"/>
      <c r="AF542" s="14"/>
      <c r="AG542" s="6"/>
      <c r="AH542" s="14"/>
      <c r="AI542" s="9"/>
      <c r="AJ542" s="8"/>
      <c r="AK542" s="6"/>
    </row>
    <row r="543" spans="1:37" s="7" customFormat="1" ht="39" customHeight="1" x14ac:dyDescent="0.25">
      <c r="A543" s="13"/>
      <c r="B543" s="21"/>
      <c r="C543" s="11"/>
      <c r="D543" s="11"/>
      <c r="E543" s="10"/>
      <c r="F543" s="10"/>
      <c r="G543" s="10"/>
      <c r="H543" s="10"/>
      <c r="I543" s="10"/>
      <c r="J543" s="10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9"/>
      <c r="AE543" s="8"/>
      <c r="AF543" s="6"/>
      <c r="AG543" s="6"/>
      <c r="AH543" s="6"/>
      <c r="AI543" s="9"/>
      <c r="AJ543" s="8"/>
      <c r="AK543" s="6"/>
    </row>
    <row r="544" spans="1:37" s="7" customFormat="1" ht="39" customHeight="1" x14ac:dyDescent="0.25">
      <c r="A544" s="13"/>
      <c r="B544" s="21"/>
      <c r="C544" s="11"/>
      <c r="D544" s="11"/>
      <c r="E544" s="10"/>
      <c r="F544" s="10"/>
      <c r="G544" s="10"/>
      <c r="H544" s="10"/>
      <c r="I544" s="10"/>
      <c r="J544" s="10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9"/>
      <c r="AE544" s="8"/>
      <c r="AF544" s="6"/>
      <c r="AG544" s="6"/>
      <c r="AH544" s="6"/>
      <c r="AI544" s="9"/>
      <c r="AJ544" s="8"/>
      <c r="AK544" s="6"/>
    </row>
    <row r="545" spans="1:37" s="7" customFormat="1" ht="39" customHeight="1" x14ac:dyDescent="0.25">
      <c r="A545" s="13"/>
      <c r="B545" s="21"/>
      <c r="C545" s="11"/>
      <c r="D545" s="11"/>
      <c r="E545" s="10"/>
      <c r="F545" s="10"/>
      <c r="G545" s="10"/>
      <c r="H545" s="10"/>
      <c r="I545" s="10"/>
      <c r="J545" s="10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9"/>
      <c r="AE545" s="8"/>
      <c r="AF545" s="14"/>
      <c r="AG545" s="6"/>
      <c r="AH545" s="14"/>
      <c r="AI545" s="9"/>
      <c r="AJ545" s="8"/>
      <c r="AK545" s="6"/>
    </row>
    <row r="546" spans="1:37" s="7" customFormat="1" ht="39" customHeight="1" x14ac:dyDescent="0.25">
      <c r="A546" s="13"/>
      <c r="B546" s="21"/>
      <c r="C546" s="11"/>
      <c r="D546" s="11"/>
      <c r="E546" s="10"/>
      <c r="F546" s="10"/>
      <c r="G546" s="10"/>
      <c r="H546" s="10"/>
      <c r="I546" s="10"/>
      <c r="J546" s="10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9"/>
      <c r="AE546" s="8"/>
      <c r="AF546" s="6"/>
      <c r="AG546" s="6"/>
      <c r="AH546" s="6"/>
      <c r="AI546" s="9"/>
      <c r="AJ546" s="8"/>
      <c r="AK546" s="6"/>
    </row>
    <row r="547" spans="1:37" s="7" customFormat="1" ht="39" customHeight="1" x14ac:dyDescent="0.25">
      <c r="A547" s="13"/>
      <c r="B547" s="12"/>
      <c r="C547" s="11"/>
      <c r="D547" s="21"/>
      <c r="E547" s="10"/>
      <c r="F547" s="10"/>
      <c r="G547" s="10"/>
      <c r="H547" s="10"/>
      <c r="I547" s="10"/>
      <c r="J547" s="10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9"/>
      <c r="AE547" s="8"/>
      <c r="AF547" s="14"/>
      <c r="AG547" s="6"/>
      <c r="AH547" s="14"/>
      <c r="AI547" s="9"/>
      <c r="AJ547" s="8"/>
      <c r="AK547" s="6"/>
    </row>
    <row r="548" spans="1:37" s="7" customFormat="1" ht="39" customHeight="1" x14ac:dyDescent="0.25">
      <c r="A548" s="13"/>
      <c r="B548" s="21"/>
      <c r="C548" s="11"/>
      <c r="D548" s="11"/>
      <c r="E548" s="6"/>
      <c r="F548" s="10"/>
      <c r="G548" s="10"/>
      <c r="H548" s="10"/>
      <c r="I548" s="10"/>
      <c r="J548" s="10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9"/>
      <c r="AE548" s="8"/>
      <c r="AF548" s="6"/>
      <c r="AG548" s="6"/>
      <c r="AH548" s="6"/>
      <c r="AI548" s="9"/>
      <c r="AJ548" s="8"/>
      <c r="AK548" s="6"/>
    </row>
    <row r="549" spans="1:37" s="7" customFormat="1" ht="39" customHeight="1" x14ac:dyDescent="0.25">
      <c r="A549" s="13"/>
      <c r="B549" s="12"/>
      <c r="C549" s="11"/>
      <c r="D549" s="11"/>
      <c r="E549" s="10"/>
      <c r="F549" s="10"/>
      <c r="G549" s="10"/>
      <c r="H549" s="10"/>
      <c r="I549" s="10"/>
      <c r="J549" s="10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9"/>
      <c r="AE549" s="8"/>
      <c r="AF549" s="6"/>
      <c r="AG549" s="6"/>
      <c r="AH549" s="6"/>
      <c r="AI549" s="9"/>
      <c r="AJ549" s="8"/>
      <c r="AK549" s="6"/>
    </row>
    <row r="550" spans="1:37" s="7" customFormat="1" ht="39" customHeight="1" x14ac:dyDescent="0.25">
      <c r="A550" s="13"/>
      <c r="B550" s="12"/>
      <c r="C550" s="11"/>
      <c r="D550" s="11"/>
      <c r="E550" s="10"/>
      <c r="F550" s="10"/>
      <c r="G550" s="10"/>
      <c r="H550" s="10"/>
      <c r="I550" s="10"/>
      <c r="J550" s="10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9"/>
      <c r="AE550" s="8"/>
      <c r="AF550" s="6"/>
      <c r="AG550" s="6"/>
      <c r="AH550" s="6"/>
      <c r="AI550" s="9"/>
      <c r="AJ550" s="8"/>
      <c r="AK550" s="6"/>
    </row>
    <row r="551" spans="1:37" s="7" customFormat="1" ht="39" customHeight="1" x14ac:dyDescent="0.25">
      <c r="A551" s="13"/>
      <c r="B551" s="12"/>
      <c r="C551" s="11"/>
      <c r="D551" s="11"/>
      <c r="E551" s="10"/>
      <c r="F551" s="10"/>
      <c r="G551" s="10"/>
      <c r="H551" s="10"/>
      <c r="I551" s="10"/>
      <c r="J551" s="10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9"/>
      <c r="AE551" s="8"/>
      <c r="AF551" s="14"/>
      <c r="AG551" s="6"/>
      <c r="AH551" s="14"/>
      <c r="AI551" s="9"/>
      <c r="AJ551" s="8"/>
      <c r="AK551" s="6"/>
    </row>
    <row r="552" spans="1:37" s="7" customFormat="1" ht="39" customHeight="1" x14ac:dyDescent="0.25">
      <c r="A552" s="13"/>
      <c r="B552" s="21"/>
      <c r="C552" s="11"/>
      <c r="D552" s="11"/>
      <c r="E552" s="10"/>
      <c r="F552" s="10"/>
      <c r="G552" s="10"/>
      <c r="H552" s="10"/>
      <c r="I552" s="10"/>
      <c r="J552" s="10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9"/>
      <c r="AE552" s="8"/>
      <c r="AF552" s="14"/>
      <c r="AG552" s="6"/>
      <c r="AH552" s="14"/>
      <c r="AI552" s="9"/>
      <c r="AJ552" s="8"/>
      <c r="AK552" s="6"/>
    </row>
    <row r="553" spans="1:37" s="7" customFormat="1" ht="39" customHeight="1" x14ac:dyDescent="0.25">
      <c r="A553" s="13"/>
      <c r="B553" s="12"/>
      <c r="C553" s="11"/>
      <c r="D553" s="11"/>
      <c r="E553" s="10"/>
      <c r="F553" s="10"/>
      <c r="G553" s="10"/>
      <c r="H553" s="10"/>
      <c r="I553" s="10"/>
      <c r="J553" s="10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9"/>
      <c r="AE553" s="8"/>
      <c r="AF553" s="6"/>
      <c r="AG553" s="6"/>
      <c r="AH553" s="6"/>
      <c r="AI553" s="9"/>
      <c r="AJ553" s="8"/>
      <c r="AK553" s="6"/>
    </row>
    <row r="554" spans="1:37" s="7" customFormat="1" ht="39" customHeight="1" x14ac:dyDescent="0.25">
      <c r="A554" s="13"/>
      <c r="B554" s="12"/>
      <c r="C554" s="11"/>
      <c r="D554" s="11"/>
      <c r="E554" s="21"/>
      <c r="F554" s="21"/>
      <c r="G554" s="21"/>
      <c r="H554" s="21"/>
      <c r="I554" s="21"/>
      <c r="J554" s="21"/>
      <c r="K554" s="21"/>
      <c r="L554" s="6"/>
      <c r="M554" s="21"/>
      <c r="N554" s="21"/>
      <c r="O554" s="21"/>
      <c r="P554" s="21"/>
      <c r="Q554" s="21"/>
      <c r="R554" s="6"/>
      <c r="S554" s="6"/>
      <c r="T554" s="6"/>
      <c r="U554" s="21"/>
      <c r="V554" s="21"/>
      <c r="W554" s="6"/>
      <c r="X554" s="6"/>
      <c r="Y554" s="6"/>
      <c r="Z554" s="6"/>
      <c r="AA554" s="6"/>
      <c r="AB554" s="6"/>
      <c r="AC554" s="22"/>
      <c r="AD554" s="9"/>
      <c r="AE554" s="8"/>
      <c r="AF554" s="6"/>
      <c r="AG554" s="6"/>
      <c r="AH554" s="6"/>
      <c r="AI554" s="9"/>
      <c r="AJ554" s="8"/>
      <c r="AK554" s="6"/>
    </row>
    <row r="555" spans="1:37" s="7" customFormat="1" ht="39" customHeight="1" x14ac:dyDescent="0.25">
      <c r="A555" s="13"/>
      <c r="B555" s="21"/>
      <c r="C555" s="11"/>
      <c r="D555" s="11"/>
      <c r="E555" s="10"/>
      <c r="F555" s="10"/>
      <c r="G555" s="10"/>
      <c r="H555" s="10"/>
      <c r="I555" s="10"/>
      <c r="J555" s="10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9"/>
      <c r="AE555" s="8"/>
      <c r="AF555" s="6"/>
      <c r="AG555" s="6"/>
      <c r="AH555" s="6"/>
      <c r="AI555" s="9"/>
      <c r="AJ555" s="8"/>
      <c r="AK555" s="6"/>
    </row>
    <row r="556" spans="1:37" s="7" customFormat="1" ht="39" customHeight="1" x14ac:dyDescent="0.25">
      <c r="A556" s="13"/>
      <c r="B556" s="21"/>
      <c r="C556" s="11"/>
      <c r="D556" s="11"/>
      <c r="E556" s="10"/>
      <c r="F556" s="10"/>
      <c r="G556" s="10"/>
      <c r="H556" s="10"/>
      <c r="I556" s="10"/>
      <c r="J556" s="10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9"/>
      <c r="AE556" s="8"/>
      <c r="AF556" s="14"/>
      <c r="AG556" s="6"/>
      <c r="AH556" s="14"/>
      <c r="AI556" s="9"/>
      <c r="AJ556" s="8"/>
      <c r="AK556" s="6"/>
    </row>
    <row r="557" spans="1:37" s="7" customFormat="1" ht="39" customHeight="1" x14ac:dyDescent="0.25">
      <c r="A557" s="13"/>
      <c r="B557" s="12"/>
      <c r="C557" s="11"/>
      <c r="D557" s="11"/>
      <c r="E557" s="10"/>
      <c r="F557" s="10"/>
      <c r="G557" s="10"/>
      <c r="H557" s="10"/>
      <c r="I557" s="10"/>
      <c r="J557" s="10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9"/>
      <c r="AE557" s="8"/>
      <c r="AF557" s="6"/>
      <c r="AG557" s="6"/>
      <c r="AH557" s="6"/>
      <c r="AI557" s="9"/>
      <c r="AJ557" s="8"/>
      <c r="AK557" s="6"/>
    </row>
    <row r="558" spans="1:37" s="7" customFormat="1" ht="39" customHeight="1" x14ac:dyDescent="0.25">
      <c r="A558" s="13"/>
      <c r="B558" s="21"/>
      <c r="C558" s="11"/>
      <c r="D558" s="11"/>
      <c r="E558" s="10"/>
      <c r="F558" s="10"/>
      <c r="G558" s="10"/>
      <c r="H558" s="10"/>
      <c r="I558" s="10"/>
      <c r="J558" s="10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9"/>
      <c r="AE558" s="8"/>
      <c r="AF558" s="6"/>
      <c r="AG558" s="6"/>
      <c r="AH558" s="6"/>
      <c r="AI558" s="9"/>
      <c r="AJ558" s="8"/>
      <c r="AK558" s="6"/>
    </row>
    <row r="559" spans="1:37" s="7" customFormat="1" ht="39" customHeight="1" x14ac:dyDescent="0.25">
      <c r="A559" s="13"/>
      <c r="B559" s="21"/>
      <c r="C559" s="11"/>
      <c r="D559" s="11"/>
      <c r="E559" s="10"/>
      <c r="F559" s="10"/>
      <c r="G559" s="10"/>
      <c r="H559" s="10"/>
      <c r="I559" s="10"/>
      <c r="J559" s="10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9"/>
      <c r="AE559" s="8"/>
      <c r="AF559" s="6"/>
      <c r="AG559" s="6"/>
      <c r="AH559" s="14"/>
      <c r="AI559" s="9"/>
      <c r="AJ559" s="8"/>
      <c r="AK559" s="6"/>
    </row>
    <row r="560" spans="1:37" s="7" customFormat="1" ht="39" customHeight="1" x14ac:dyDescent="0.25">
      <c r="A560" s="20"/>
      <c r="B560" s="19"/>
      <c r="C560" s="19"/>
      <c r="D560" s="19"/>
      <c r="E560" s="24"/>
      <c r="F560" s="24"/>
      <c r="G560" s="24"/>
      <c r="H560" s="24"/>
      <c r="I560" s="24"/>
      <c r="J560" s="24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7"/>
      <c r="AE560" s="16"/>
      <c r="AF560" s="15"/>
      <c r="AG560" s="15"/>
      <c r="AH560" s="23"/>
      <c r="AI560" s="17"/>
      <c r="AJ560" s="16"/>
      <c r="AK560" s="15"/>
    </row>
    <row r="561" spans="1:37" s="7" customFormat="1" ht="39" customHeight="1" x14ac:dyDescent="0.25">
      <c r="A561" s="13"/>
      <c r="B561" s="21"/>
      <c r="C561" s="11"/>
      <c r="D561" s="11"/>
      <c r="E561" s="10"/>
      <c r="F561" s="10"/>
      <c r="G561" s="10"/>
      <c r="H561" s="10"/>
      <c r="I561" s="10"/>
      <c r="J561" s="10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9"/>
      <c r="AE561" s="8"/>
      <c r="AF561" s="14"/>
      <c r="AG561" s="6"/>
      <c r="AH561" s="14"/>
      <c r="AI561" s="9"/>
      <c r="AJ561" s="8"/>
      <c r="AK561" s="6"/>
    </row>
    <row r="562" spans="1:37" s="7" customFormat="1" ht="39" customHeight="1" x14ac:dyDescent="0.25">
      <c r="A562" s="13"/>
      <c r="B562" s="21"/>
      <c r="C562" s="11"/>
      <c r="D562" s="11"/>
      <c r="E562" s="10"/>
      <c r="F562" s="10"/>
      <c r="G562" s="10"/>
      <c r="H562" s="10"/>
      <c r="I562" s="10"/>
      <c r="J562" s="10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9"/>
      <c r="AE562" s="8"/>
      <c r="AF562" s="14"/>
      <c r="AG562" s="6"/>
      <c r="AH562" s="14"/>
      <c r="AI562" s="9"/>
      <c r="AJ562" s="8"/>
      <c r="AK562" s="6"/>
    </row>
    <row r="563" spans="1:37" s="7" customFormat="1" ht="39" customHeight="1" x14ac:dyDescent="0.25">
      <c r="A563" s="13"/>
      <c r="B563" s="21"/>
      <c r="C563" s="11"/>
      <c r="D563" s="11"/>
      <c r="E563" s="10"/>
      <c r="F563" s="10"/>
      <c r="G563" s="10"/>
      <c r="H563" s="10"/>
      <c r="I563" s="10"/>
      <c r="J563" s="10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9"/>
      <c r="AE563" s="8"/>
      <c r="AF563" s="6"/>
      <c r="AG563" s="6"/>
      <c r="AH563" s="6"/>
      <c r="AI563" s="9"/>
      <c r="AJ563" s="8"/>
      <c r="AK563" s="6"/>
    </row>
    <row r="564" spans="1:37" s="7" customFormat="1" ht="39" customHeight="1" x14ac:dyDescent="0.25">
      <c r="A564" s="13"/>
      <c r="B564" s="21"/>
      <c r="C564" s="11"/>
      <c r="D564" s="11"/>
      <c r="E564" s="6"/>
      <c r="F564" s="10"/>
      <c r="G564" s="10"/>
      <c r="H564" s="10"/>
      <c r="I564" s="10"/>
      <c r="J564" s="10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9"/>
      <c r="AE564" s="8"/>
      <c r="AF564" s="14"/>
      <c r="AG564" s="6"/>
      <c r="AH564" s="14"/>
      <c r="AI564" s="9"/>
      <c r="AJ564" s="8"/>
      <c r="AK564" s="6"/>
    </row>
    <row r="565" spans="1:37" s="7" customFormat="1" ht="39" customHeight="1" x14ac:dyDescent="0.25">
      <c r="A565" s="13"/>
      <c r="B565" s="21"/>
      <c r="C565" s="11"/>
      <c r="D565" s="11"/>
      <c r="E565" s="10"/>
      <c r="F565" s="10"/>
      <c r="G565" s="10"/>
      <c r="H565" s="10"/>
      <c r="I565" s="10"/>
      <c r="J565" s="10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9"/>
      <c r="AE565" s="8"/>
      <c r="AF565" s="6"/>
      <c r="AG565" s="6"/>
      <c r="AH565" s="6"/>
      <c r="AI565" s="9"/>
      <c r="AJ565" s="8"/>
      <c r="AK565" s="6"/>
    </row>
    <row r="566" spans="1:37" s="7" customFormat="1" ht="39" customHeight="1" x14ac:dyDescent="0.25">
      <c r="A566" s="13"/>
      <c r="B566" s="21"/>
      <c r="C566" s="11"/>
      <c r="D566" s="11"/>
      <c r="E566" s="6"/>
      <c r="F566" s="10"/>
      <c r="G566" s="10"/>
      <c r="H566" s="10"/>
      <c r="I566" s="10"/>
      <c r="J566" s="10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9"/>
      <c r="AE566" s="8"/>
      <c r="AF566" s="14"/>
      <c r="AG566" s="6"/>
      <c r="AH566" s="14"/>
      <c r="AI566" s="9"/>
      <c r="AJ566" s="8"/>
      <c r="AK566" s="6"/>
    </row>
    <row r="567" spans="1:37" s="7" customFormat="1" ht="39" customHeight="1" x14ac:dyDescent="0.25">
      <c r="A567" s="13"/>
      <c r="B567" s="21"/>
      <c r="C567" s="11"/>
      <c r="D567" s="11"/>
      <c r="E567" s="6"/>
      <c r="F567" s="10"/>
      <c r="G567" s="10"/>
      <c r="H567" s="10"/>
      <c r="I567" s="10"/>
      <c r="J567" s="10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9"/>
      <c r="AE567" s="8"/>
      <c r="AF567" s="6"/>
      <c r="AG567" s="6"/>
      <c r="AH567" s="6"/>
      <c r="AI567" s="9"/>
      <c r="AJ567" s="8"/>
      <c r="AK567" s="6"/>
    </row>
    <row r="568" spans="1:37" s="7" customFormat="1" ht="39" customHeight="1" x14ac:dyDescent="0.25">
      <c r="A568" s="13"/>
      <c r="B568" s="21"/>
      <c r="C568" s="11"/>
      <c r="D568" s="11"/>
      <c r="E568" s="10"/>
      <c r="F568" s="10"/>
      <c r="G568" s="10"/>
      <c r="H568" s="10"/>
      <c r="I568" s="10"/>
      <c r="J568" s="10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9"/>
      <c r="AE568" s="8"/>
      <c r="AF568" s="14"/>
      <c r="AG568" s="6"/>
      <c r="AH568" s="14"/>
      <c r="AI568" s="9"/>
      <c r="AJ568" s="8"/>
      <c r="AK568" s="6"/>
    </row>
    <row r="569" spans="1:37" s="7" customFormat="1" ht="39" customHeight="1" x14ac:dyDescent="0.25">
      <c r="A569" s="13"/>
      <c r="B569" s="21"/>
      <c r="C569" s="11"/>
      <c r="D569" s="11"/>
      <c r="E569" s="10"/>
      <c r="F569" s="10"/>
      <c r="G569" s="10"/>
      <c r="H569" s="10"/>
      <c r="I569" s="10"/>
      <c r="J569" s="10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9"/>
      <c r="AE569" s="8"/>
      <c r="AF569" s="6"/>
      <c r="AG569" s="6"/>
      <c r="AH569" s="6"/>
      <c r="AI569" s="9"/>
      <c r="AJ569" s="8"/>
      <c r="AK569" s="6"/>
    </row>
    <row r="570" spans="1:37" s="7" customFormat="1" ht="39" customHeight="1" x14ac:dyDescent="0.25">
      <c r="A570" s="13"/>
      <c r="B570" s="21"/>
      <c r="C570" s="11"/>
      <c r="D570" s="11"/>
      <c r="E570" s="10"/>
      <c r="F570" s="10"/>
      <c r="G570" s="10"/>
      <c r="H570" s="10"/>
      <c r="I570" s="10"/>
      <c r="J570" s="10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9"/>
      <c r="AE570" s="8"/>
      <c r="AF570" s="6"/>
      <c r="AG570" s="6"/>
      <c r="AH570" s="6"/>
      <c r="AI570" s="9"/>
      <c r="AJ570" s="8"/>
      <c r="AK570" s="6"/>
    </row>
    <row r="571" spans="1:37" s="7" customFormat="1" ht="39" customHeight="1" x14ac:dyDescent="0.25">
      <c r="A571" s="13"/>
      <c r="B571" s="21"/>
      <c r="C571" s="11"/>
      <c r="D571" s="11"/>
      <c r="E571" s="10"/>
      <c r="F571" s="10"/>
      <c r="G571" s="10"/>
      <c r="H571" s="10"/>
      <c r="I571" s="10"/>
      <c r="J571" s="10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9"/>
      <c r="AE571" s="8"/>
      <c r="AF571" s="14"/>
      <c r="AG571" s="6"/>
      <c r="AH571" s="14"/>
      <c r="AI571" s="9"/>
      <c r="AJ571" s="8"/>
      <c r="AK571" s="6"/>
    </row>
    <row r="572" spans="1:37" s="7" customFormat="1" ht="39" customHeight="1" x14ac:dyDescent="0.25">
      <c r="A572" s="13"/>
      <c r="B572" s="21"/>
      <c r="C572" s="11"/>
      <c r="D572" s="11"/>
      <c r="E572" s="10"/>
      <c r="F572" s="10"/>
      <c r="G572" s="10"/>
      <c r="H572" s="10"/>
      <c r="I572" s="10"/>
      <c r="J572" s="10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9"/>
      <c r="AE572" s="8"/>
      <c r="AF572" s="6"/>
      <c r="AG572" s="6"/>
      <c r="AH572" s="6"/>
      <c r="AI572" s="9"/>
      <c r="AJ572" s="8"/>
      <c r="AK572" s="6"/>
    </row>
    <row r="573" spans="1:37" s="7" customFormat="1" ht="39" customHeight="1" x14ac:dyDescent="0.25">
      <c r="A573" s="13"/>
      <c r="B573" s="21"/>
      <c r="C573" s="11"/>
      <c r="D573" s="11"/>
      <c r="E573" s="10"/>
      <c r="F573" s="10"/>
      <c r="G573" s="10"/>
      <c r="H573" s="10"/>
      <c r="I573" s="10"/>
      <c r="J573" s="10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9"/>
      <c r="AE573" s="8"/>
      <c r="AF573" s="14"/>
      <c r="AG573" s="6"/>
      <c r="AH573" s="14"/>
      <c r="AI573" s="9"/>
      <c r="AJ573" s="8"/>
      <c r="AK573" s="6"/>
    </row>
    <row r="574" spans="1:37" s="7" customFormat="1" ht="39" customHeight="1" x14ac:dyDescent="0.25">
      <c r="A574" s="13"/>
      <c r="B574" s="12"/>
      <c r="C574" s="11"/>
      <c r="D574" s="21"/>
      <c r="E574" s="6"/>
      <c r="F574" s="10"/>
      <c r="G574" s="10"/>
      <c r="H574" s="10"/>
      <c r="I574" s="10"/>
      <c r="J574" s="10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9"/>
      <c r="AE574" s="8"/>
      <c r="AF574" s="6"/>
      <c r="AG574" s="6"/>
      <c r="AH574" s="6"/>
      <c r="AI574" s="9"/>
      <c r="AJ574" s="8"/>
      <c r="AK574" s="6"/>
    </row>
    <row r="575" spans="1:37" s="7" customFormat="1" ht="39" customHeight="1" x14ac:dyDescent="0.25">
      <c r="A575" s="13"/>
      <c r="B575" s="21"/>
      <c r="C575" s="11"/>
      <c r="D575" s="11"/>
      <c r="E575" s="10"/>
      <c r="F575" s="10"/>
      <c r="G575" s="10"/>
      <c r="H575" s="10"/>
      <c r="I575" s="10"/>
      <c r="J575" s="10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9"/>
      <c r="AE575" s="8"/>
      <c r="AF575" s="6"/>
      <c r="AG575" s="6"/>
      <c r="AH575" s="6"/>
      <c r="AI575" s="9"/>
      <c r="AJ575" s="8"/>
      <c r="AK575" s="6"/>
    </row>
    <row r="576" spans="1:37" s="7" customFormat="1" ht="39" customHeight="1" x14ac:dyDescent="0.25">
      <c r="A576" s="13"/>
      <c r="B576" s="12"/>
      <c r="C576" s="11"/>
      <c r="D576" s="11"/>
      <c r="E576" s="10"/>
      <c r="F576" s="10"/>
      <c r="G576" s="10"/>
      <c r="H576" s="10"/>
      <c r="I576" s="10"/>
      <c r="J576" s="10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9"/>
      <c r="AE576" s="8"/>
      <c r="AF576" s="6"/>
      <c r="AG576" s="6"/>
      <c r="AH576" s="6"/>
      <c r="AI576" s="9"/>
      <c r="AJ576" s="8"/>
      <c r="AK576" s="6"/>
    </row>
    <row r="577" spans="1:37" s="7" customFormat="1" ht="39" customHeight="1" x14ac:dyDescent="0.25">
      <c r="A577" s="13"/>
      <c r="B577" s="12"/>
      <c r="C577" s="11"/>
      <c r="D577" s="11"/>
      <c r="E577" s="10"/>
      <c r="F577" s="10"/>
      <c r="G577" s="10"/>
      <c r="H577" s="10"/>
      <c r="I577" s="10"/>
      <c r="J577" s="10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9"/>
      <c r="AE577" s="8"/>
      <c r="AF577" s="14"/>
      <c r="AG577" s="6"/>
      <c r="AH577" s="14"/>
      <c r="AI577" s="9"/>
      <c r="AJ577" s="8"/>
      <c r="AK577" s="6"/>
    </row>
    <row r="578" spans="1:37" s="7" customFormat="1" ht="39" customHeight="1" x14ac:dyDescent="0.25">
      <c r="A578" s="13"/>
      <c r="B578" s="12"/>
      <c r="C578" s="11"/>
      <c r="D578" s="11"/>
      <c r="E578" s="10"/>
      <c r="F578" s="10"/>
      <c r="G578" s="10"/>
      <c r="H578" s="10"/>
      <c r="I578" s="10"/>
      <c r="J578" s="10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9"/>
      <c r="AE578" s="8"/>
      <c r="AF578" s="14"/>
      <c r="AG578" s="6"/>
      <c r="AH578" s="14"/>
      <c r="AI578" s="9"/>
      <c r="AJ578" s="8"/>
      <c r="AK578" s="6"/>
    </row>
    <row r="579" spans="1:37" s="7" customFormat="1" ht="39" customHeight="1" x14ac:dyDescent="0.25">
      <c r="A579" s="13"/>
      <c r="B579" s="21"/>
      <c r="C579" s="11"/>
      <c r="D579" s="11"/>
      <c r="E579" s="10"/>
      <c r="F579" s="10"/>
      <c r="G579" s="10"/>
      <c r="H579" s="10"/>
      <c r="I579" s="10"/>
      <c r="J579" s="10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9"/>
      <c r="AE579" s="8"/>
      <c r="AF579" s="6"/>
      <c r="AG579" s="6"/>
      <c r="AH579" s="6"/>
      <c r="AI579" s="9"/>
      <c r="AJ579" s="8"/>
      <c r="AK579" s="6"/>
    </row>
    <row r="580" spans="1:37" s="7" customFormat="1" ht="39" customHeight="1" x14ac:dyDescent="0.25">
      <c r="A580" s="13"/>
      <c r="B580" s="12"/>
      <c r="C580" s="11"/>
      <c r="D580" s="11"/>
      <c r="E580" s="21"/>
      <c r="F580" s="21"/>
      <c r="G580" s="21"/>
      <c r="H580" s="21"/>
      <c r="I580" s="21"/>
      <c r="J580" s="21"/>
      <c r="K580" s="21"/>
      <c r="L580" s="6"/>
      <c r="M580" s="21"/>
      <c r="N580" s="21"/>
      <c r="O580" s="21"/>
      <c r="P580" s="21"/>
      <c r="Q580" s="21"/>
      <c r="R580" s="6"/>
      <c r="S580" s="6"/>
      <c r="T580" s="6"/>
      <c r="U580" s="21"/>
      <c r="V580" s="21"/>
      <c r="W580" s="6"/>
      <c r="X580" s="6"/>
      <c r="Y580" s="6"/>
      <c r="Z580" s="6"/>
      <c r="AA580" s="6"/>
      <c r="AB580" s="6"/>
      <c r="AC580" s="22"/>
      <c r="AD580" s="9"/>
      <c r="AE580" s="8"/>
      <c r="AF580" s="6"/>
      <c r="AG580" s="6"/>
      <c r="AH580" s="6"/>
      <c r="AI580" s="9"/>
      <c r="AJ580" s="8"/>
      <c r="AK580" s="6"/>
    </row>
    <row r="581" spans="1:37" s="7" customFormat="1" ht="39" customHeight="1" x14ac:dyDescent="0.25">
      <c r="A581" s="13"/>
      <c r="B581" s="12"/>
      <c r="C581" s="11"/>
      <c r="D581" s="11"/>
      <c r="E581" s="10"/>
      <c r="F581" s="10"/>
      <c r="G581" s="10"/>
      <c r="H581" s="10"/>
      <c r="I581" s="10"/>
      <c r="J581" s="10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9"/>
      <c r="AE581" s="8"/>
      <c r="AF581" s="6"/>
      <c r="AG581" s="6"/>
      <c r="AH581" s="6"/>
      <c r="AI581" s="9"/>
      <c r="AJ581" s="8"/>
      <c r="AK581" s="6"/>
    </row>
    <row r="582" spans="1:37" s="7" customFormat="1" ht="39" customHeight="1" x14ac:dyDescent="0.25">
      <c r="A582" s="13"/>
      <c r="B582" s="21"/>
      <c r="C582" s="11"/>
      <c r="D582" s="11"/>
      <c r="E582" s="10"/>
      <c r="F582" s="10"/>
      <c r="G582" s="10"/>
      <c r="H582" s="10"/>
      <c r="I582" s="10"/>
      <c r="J582" s="10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9"/>
      <c r="AE582" s="8"/>
      <c r="AF582" s="14"/>
      <c r="AG582" s="6"/>
      <c r="AH582" s="14"/>
      <c r="AI582" s="9"/>
      <c r="AJ582" s="8"/>
      <c r="AK582" s="6"/>
    </row>
    <row r="583" spans="1:37" s="7" customFormat="1" ht="39" customHeight="1" x14ac:dyDescent="0.25">
      <c r="A583" s="13"/>
      <c r="B583" s="21"/>
      <c r="C583" s="11"/>
      <c r="D583" s="11"/>
      <c r="E583" s="10"/>
      <c r="F583" s="10"/>
      <c r="G583" s="10"/>
      <c r="H583" s="10"/>
      <c r="I583" s="10"/>
      <c r="J583" s="10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9"/>
      <c r="AE583" s="8"/>
      <c r="AF583" s="6"/>
      <c r="AG583" s="6"/>
      <c r="AH583" s="6"/>
      <c r="AI583" s="9"/>
      <c r="AJ583" s="8"/>
      <c r="AK583" s="6"/>
    </row>
    <row r="584" spans="1:37" s="7" customFormat="1" ht="39" customHeight="1" x14ac:dyDescent="0.25">
      <c r="A584" s="13"/>
      <c r="B584" s="12"/>
      <c r="C584" s="11"/>
      <c r="D584" s="11"/>
      <c r="E584" s="10"/>
      <c r="F584" s="10"/>
      <c r="G584" s="10"/>
      <c r="H584" s="10"/>
      <c r="I584" s="10"/>
      <c r="J584" s="10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9"/>
      <c r="AE584" s="8"/>
      <c r="AF584" s="6"/>
      <c r="AG584" s="6"/>
      <c r="AH584" s="6"/>
      <c r="AI584" s="9"/>
      <c r="AJ584" s="8"/>
      <c r="AK584" s="6"/>
    </row>
    <row r="585" spans="1:37" s="7" customFormat="1" ht="39" customHeight="1" x14ac:dyDescent="0.25">
      <c r="A585" s="13"/>
      <c r="B585" s="21"/>
      <c r="C585" s="11"/>
      <c r="D585" s="11"/>
      <c r="E585" s="10"/>
      <c r="F585" s="10"/>
      <c r="G585" s="10"/>
      <c r="H585" s="10"/>
      <c r="I585" s="10"/>
      <c r="J585" s="10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9"/>
      <c r="AE585" s="8"/>
      <c r="AF585" s="6"/>
      <c r="AG585" s="6"/>
      <c r="AH585" s="14"/>
      <c r="AI585" s="9"/>
      <c r="AJ585" s="8"/>
      <c r="AK585" s="6"/>
    </row>
    <row r="586" spans="1:37" s="7" customFormat="1" ht="39" customHeight="1" x14ac:dyDescent="0.25">
      <c r="A586" s="13"/>
      <c r="B586" s="21"/>
      <c r="C586" s="11"/>
      <c r="D586" s="11"/>
      <c r="E586" s="10"/>
      <c r="F586" s="10"/>
      <c r="G586" s="10"/>
      <c r="H586" s="10"/>
      <c r="I586" s="10"/>
      <c r="J586" s="10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9"/>
      <c r="AE586" s="8"/>
      <c r="AF586" s="6"/>
      <c r="AG586" s="6"/>
      <c r="AH586" s="14"/>
      <c r="AI586" s="9"/>
      <c r="AJ586" s="8"/>
      <c r="AK586" s="6"/>
    </row>
    <row r="587" spans="1:37" s="7" customFormat="1" ht="39" customHeight="1" x14ac:dyDescent="0.25">
      <c r="A587" s="20"/>
      <c r="B587" s="19"/>
      <c r="C587" s="25"/>
      <c r="D587" s="25"/>
      <c r="E587" s="24"/>
      <c r="F587" s="24"/>
      <c r="G587" s="24"/>
      <c r="H587" s="24"/>
      <c r="I587" s="24"/>
      <c r="J587" s="24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7"/>
      <c r="AE587" s="16"/>
      <c r="AF587" s="23"/>
      <c r="AG587" s="15"/>
      <c r="AH587" s="23"/>
      <c r="AI587" s="17"/>
      <c r="AJ587" s="16"/>
      <c r="AK587" s="15"/>
    </row>
    <row r="588" spans="1:37" s="7" customFormat="1" ht="39" customHeight="1" x14ac:dyDescent="0.25">
      <c r="A588" s="13"/>
      <c r="B588" s="21"/>
      <c r="C588" s="11"/>
      <c r="D588" s="11"/>
      <c r="E588" s="10"/>
      <c r="F588" s="10"/>
      <c r="G588" s="10"/>
      <c r="H588" s="10"/>
      <c r="I588" s="10"/>
      <c r="J588" s="10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9"/>
      <c r="AE588" s="8"/>
      <c r="AF588" s="14"/>
      <c r="AG588" s="6"/>
      <c r="AH588" s="14"/>
      <c r="AI588" s="9"/>
      <c r="AJ588" s="8"/>
      <c r="AK588" s="6"/>
    </row>
    <row r="589" spans="1:37" s="7" customFormat="1" ht="39" customHeight="1" x14ac:dyDescent="0.25">
      <c r="A589" s="13"/>
      <c r="B589" s="21"/>
      <c r="C589" s="11"/>
      <c r="D589" s="11"/>
      <c r="E589" s="10"/>
      <c r="F589" s="10"/>
      <c r="G589" s="10"/>
      <c r="H589" s="10"/>
      <c r="I589" s="10"/>
      <c r="J589" s="10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9"/>
      <c r="AE589" s="8"/>
      <c r="AF589" s="6"/>
      <c r="AG589" s="6"/>
      <c r="AH589" s="6"/>
      <c r="AI589" s="9"/>
      <c r="AJ589" s="8"/>
      <c r="AK589" s="6"/>
    </row>
    <row r="590" spans="1:37" s="7" customFormat="1" ht="39" customHeight="1" x14ac:dyDescent="0.25">
      <c r="A590" s="13"/>
      <c r="B590" s="21"/>
      <c r="C590" s="11"/>
      <c r="D590" s="11"/>
      <c r="E590" s="6"/>
      <c r="F590" s="10"/>
      <c r="G590" s="10"/>
      <c r="H590" s="10"/>
      <c r="I590" s="10"/>
      <c r="J590" s="10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9"/>
      <c r="AE590" s="8"/>
      <c r="AF590" s="14"/>
      <c r="AG590" s="6"/>
      <c r="AH590" s="14"/>
      <c r="AI590" s="9"/>
      <c r="AJ590" s="8"/>
      <c r="AK590" s="6"/>
    </row>
    <row r="591" spans="1:37" s="7" customFormat="1" ht="39" customHeight="1" x14ac:dyDescent="0.25">
      <c r="A591" s="13"/>
      <c r="B591" s="21"/>
      <c r="C591" s="11"/>
      <c r="D591" s="11"/>
      <c r="E591" s="10"/>
      <c r="F591" s="10"/>
      <c r="G591" s="10"/>
      <c r="H591" s="10"/>
      <c r="I591" s="10"/>
      <c r="J591" s="10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9"/>
      <c r="AE591" s="8"/>
      <c r="AF591" s="6"/>
      <c r="AG591" s="6"/>
      <c r="AH591" s="6"/>
      <c r="AI591" s="9"/>
      <c r="AJ591" s="8"/>
      <c r="AK591" s="6"/>
    </row>
    <row r="592" spans="1:37" s="7" customFormat="1" ht="39" customHeight="1" x14ac:dyDescent="0.25">
      <c r="A592" s="13"/>
      <c r="B592" s="21"/>
      <c r="C592" s="11"/>
      <c r="D592" s="11"/>
      <c r="E592" s="6"/>
      <c r="F592" s="10"/>
      <c r="G592" s="10"/>
      <c r="H592" s="10"/>
      <c r="I592" s="10"/>
      <c r="J592" s="10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9"/>
      <c r="AE592" s="8"/>
      <c r="AF592" s="14"/>
      <c r="AG592" s="6"/>
      <c r="AH592" s="14"/>
      <c r="AI592" s="9"/>
      <c r="AJ592" s="8"/>
      <c r="AK592" s="6"/>
    </row>
    <row r="593" spans="1:37" s="7" customFormat="1" ht="39" customHeight="1" x14ac:dyDescent="0.25">
      <c r="A593" s="13"/>
      <c r="B593" s="21"/>
      <c r="C593" s="11"/>
      <c r="D593" s="11"/>
      <c r="E593" s="6"/>
      <c r="F593" s="10"/>
      <c r="G593" s="10"/>
      <c r="H593" s="10"/>
      <c r="I593" s="10"/>
      <c r="J593" s="10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9"/>
      <c r="AE593" s="8"/>
      <c r="AF593" s="6"/>
      <c r="AG593" s="6"/>
      <c r="AH593" s="6"/>
      <c r="AI593" s="9"/>
      <c r="AJ593" s="8"/>
      <c r="AK593" s="6"/>
    </row>
    <row r="594" spans="1:37" s="7" customFormat="1" ht="39" customHeight="1" x14ac:dyDescent="0.25">
      <c r="A594" s="13"/>
      <c r="B594" s="12"/>
      <c r="C594" s="11"/>
      <c r="D594" s="21"/>
      <c r="E594" s="10"/>
      <c r="F594" s="10"/>
      <c r="G594" s="10"/>
      <c r="H594" s="10"/>
      <c r="I594" s="10"/>
      <c r="J594" s="10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9"/>
      <c r="AE594" s="8"/>
      <c r="AF594" s="14"/>
      <c r="AG594" s="6"/>
      <c r="AH594" s="14"/>
      <c r="AI594" s="9"/>
      <c r="AJ594" s="8"/>
      <c r="AK594" s="6"/>
    </row>
    <row r="595" spans="1:37" s="7" customFormat="1" ht="39" customHeight="1" x14ac:dyDescent="0.25">
      <c r="A595" s="13"/>
      <c r="B595" s="21"/>
      <c r="C595" s="11"/>
      <c r="D595" s="11"/>
      <c r="E595" s="10"/>
      <c r="F595" s="10"/>
      <c r="G595" s="10"/>
      <c r="H595" s="10"/>
      <c r="I595" s="10"/>
      <c r="J595" s="10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9"/>
      <c r="AE595" s="8"/>
      <c r="AF595" s="6"/>
      <c r="AG595" s="6"/>
      <c r="AH595" s="6"/>
      <c r="AI595" s="9"/>
      <c r="AJ595" s="8"/>
      <c r="AK595" s="6"/>
    </row>
    <row r="596" spans="1:37" s="7" customFormat="1" ht="39" customHeight="1" x14ac:dyDescent="0.25">
      <c r="A596" s="13"/>
      <c r="B596" s="12"/>
      <c r="C596" s="11"/>
      <c r="D596" s="11"/>
      <c r="E596" s="10"/>
      <c r="F596" s="10"/>
      <c r="G596" s="10"/>
      <c r="H596" s="10"/>
      <c r="I596" s="10"/>
      <c r="J596" s="10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9"/>
      <c r="AE596" s="8"/>
      <c r="AF596" s="6"/>
      <c r="AG596" s="6"/>
      <c r="AH596" s="6"/>
      <c r="AI596" s="9"/>
      <c r="AJ596" s="8"/>
      <c r="AK596" s="6"/>
    </row>
    <row r="597" spans="1:37" s="7" customFormat="1" ht="39" customHeight="1" x14ac:dyDescent="0.25">
      <c r="A597" s="13"/>
      <c r="B597" s="12"/>
      <c r="C597" s="11"/>
      <c r="D597" s="11"/>
      <c r="E597" s="10"/>
      <c r="F597" s="10"/>
      <c r="G597" s="10"/>
      <c r="H597" s="10"/>
      <c r="I597" s="10"/>
      <c r="J597" s="10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9"/>
      <c r="AE597" s="8"/>
      <c r="AF597" s="14"/>
      <c r="AG597" s="6"/>
      <c r="AH597" s="14"/>
      <c r="AI597" s="9"/>
      <c r="AJ597" s="8"/>
      <c r="AK597" s="6"/>
    </row>
    <row r="598" spans="1:37" s="7" customFormat="1" ht="39" customHeight="1" x14ac:dyDescent="0.25">
      <c r="A598" s="13"/>
      <c r="B598" s="21"/>
      <c r="C598" s="11"/>
      <c r="D598" s="11"/>
      <c r="E598" s="10"/>
      <c r="F598" s="10"/>
      <c r="G598" s="10"/>
      <c r="H598" s="10"/>
      <c r="I598" s="10"/>
      <c r="J598" s="10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9"/>
      <c r="AE598" s="8"/>
      <c r="AF598" s="6"/>
      <c r="AG598" s="6"/>
      <c r="AH598" s="6"/>
      <c r="AI598" s="9"/>
      <c r="AJ598" s="8"/>
      <c r="AK598" s="6"/>
    </row>
    <row r="599" spans="1:37" s="7" customFormat="1" ht="39" customHeight="1" x14ac:dyDescent="0.25">
      <c r="A599" s="13"/>
      <c r="B599" s="12"/>
      <c r="C599" s="11"/>
      <c r="D599" s="11"/>
      <c r="E599" s="10"/>
      <c r="F599" s="10"/>
      <c r="G599" s="10"/>
      <c r="H599" s="10"/>
      <c r="I599" s="10"/>
      <c r="J599" s="10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9"/>
      <c r="AE599" s="8"/>
      <c r="AF599" s="14"/>
      <c r="AG599" s="6"/>
      <c r="AH599" s="14"/>
      <c r="AI599" s="9"/>
      <c r="AJ599" s="8"/>
      <c r="AK599" s="6"/>
    </row>
    <row r="600" spans="1:37" s="7" customFormat="1" ht="39" customHeight="1" x14ac:dyDescent="0.25">
      <c r="A600" s="13"/>
      <c r="B600" s="12"/>
      <c r="C600" s="11"/>
      <c r="D600" s="11"/>
      <c r="E600" s="6"/>
      <c r="F600" s="10"/>
      <c r="G600" s="10"/>
      <c r="H600" s="10"/>
      <c r="I600" s="10"/>
      <c r="J600" s="10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9"/>
      <c r="AE600" s="8"/>
      <c r="AF600" s="6"/>
      <c r="AG600" s="6"/>
      <c r="AH600" s="6"/>
      <c r="AI600" s="9"/>
      <c r="AJ600" s="8"/>
      <c r="AK600" s="6"/>
    </row>
    <row r="601" spans="1:37" s="7" customFormat="1" ht="39" customHeight="1" x14ac:dyDescent="0.25">
      <c r="A601" s="13"/>
      <c r="B601" s="21"/>
      <c r="C601" s="11"/>
      <c r="D601" s="11"/>
      <c r="E601" s="10"/>
      <c r="F601" s="10"/>
      <c r="G601" s="10"/>
      <c r="H601" s="10"/>
      <c r="I601" s="10"/>
      <c r="J601" s="10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9"/>
      <c r="AE601" s="8"/>
      <c r="AF601" s="6"/>
      <c r="AG601" s="6"/>
      <c r="AH601" s="6"/>
      <c r="AI601" s="9"/>
      <c r="AJ601" s="8"/>
      <c r="AK601" s="6"/>
    </row>
    <row r="602" spans="1:37" s="7" customFormat="1" ht="39" customHeight="1" x14ac:dyDescent="0.25">
      <c r="A602" s="13"/>
      <c r="B602" s="21"/>
      <c r="C602" s="11"/>
      <c r="D602" s="11"/>
      <c r="E602" s="10"/>
      <c r="F602" s="10"/>
      <c r="G602" s="10"/>
      <c r="H602" s="10"/>
      <c r="I602" s="10"/>
      <c r="J602" s="10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9"/>
      <c r="AE602" s="8"/>
      <c r="AF602" s="6"/>
      <c r="AG602" s="6"/>
      <c r="AH602" s="6"/>
      <c r="AI602" s="9"/>
      <c r="AJ602" s="8"/>
      <c r="AK602" s="6"/>
    </row>
    <row r="603" spans="1:37" s="7" customFormat="1" ht="39" customHeight="1" x14ac:dyDescent="0.25">
      <c r="A603" s="13"/>
      <c r="B603" s="12"/>
      <c r="C603" s="11"/>
      <c r="D603" s="11"/>
      <c r="E603" s="10"/>
      <c r="F603" s="10"/>
      <c r="G603" s="10"/>
      <c r="H603" s="10"/>
      <c r="I603" s="10"/>
      <c r="J603" s="10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9"/>
      <c r="AE603" s="8"/>
      <c r="AF603" s="14"/>
      <c r="AG603" s="6"/>
      <c r="AH603" s="14"/>
      <c r="AI603" s="9"/>
      <c r="AJ603" s="8"/>
      <c r="AK603" s="6"/>
    </row>
    <row r="604" spans="1:37" s="7" customFormat="1" ht="39" customHeight="1" x14ac:dyDescent="0.25">
      <c r="A604" s="13"/>
      <c r="B604" s="21"/>
      <c r="C604" s="11"/>
      <c r="D604" s="11"/>
      <c r="E604" s="10"/>
      <c r="F604" s="10"/>
      <c r="G604" s="10"/>
      <c r="H604" s="10"/>
      <c r="I604" s="10"/>
      <c r="J604" s="10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9"/>
      <c r="AE604" s="8"/>
      <c r="AF604" s="14"/>
      <c r="AG604" s="6"/>
      <c r="AH604" s="14"/>
      <c r="AI604" s="9"/>
      <c r="AJ604" s="8"/>
      <c r="AK604" s="6"/>
    </row>
    <row r="605" spans="1:37" s="7" customFormat="1" ht="39" customHeight="1" x14ac:dyDescent="0.25">
      <c r="A605" s="13"/>
      <c r="B605" s="21"/>
      <c r="C605" s="11"/>
      <c r="D605" s="11"/>
      <c r="E605" s="10"/>
      <c r="F605" s="10"/>
      <c r="G605" s="10"/>
      <c r="H605" s="10"/>
      <c r="I605" s="10"/>
      <c r="J605" s="10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9"/>
      <c r="AE605" s="8"/>
      <c r="AF605" s="6"/>
      <c r="AG605" s="6"/>
      <c r="AH605" s="6"/>
      <c r="AI605" s="9"/>
      <c r="AJ605" s="8"/>
      <c r="AK605" s="6"/>
    </row>
    <row r="606" spans="1:37" s="7" customFormat="1" ht="39" customHeight="1" x14ac:dyDescent="0.25">
      <c r="A606" s="1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6"/>
      <c r="M606" s="21"/>
      <c r="N606" s="21"/>
      <c r="O606" s="21"/>
      <c r="P606" s="21"/>
      <c r="Q606" s="21"/>
      <c r="R606" s="6"/>
      <c r="S606" s="6"/>
      <c r="T606" s="6"/>
      <c r="U606" s="21"/>
      <c r="V606" s="21"/>
      <c r="W606" s="6"/>
      <c r="X606" s="6"/>
      <c r="Y606" s="6"/>
      <c r="Z606" s="6"/>
      <c r="AA606" s="6"/>
      <c r="AB606" s="6"/>
      <c r="AC606" s="22"/>
      <c r="AD606" s="9"/>
      <c r="AE606" s="8"/>
      <c r="AF606" s="6"/>
      <c r="AG606" s="6"/>
      <c r="AH606" s="6"/>
      <c r="AI606" s="9"/>
      <c r="AJ606" s="8"/>
      <c r="AK606" s="6"/>
    </row>
    <row r="607" spans="1:37" s="7" customFormat="1" ht="39" customHeight="1" x14ac:dyDescent="0.25">
      <c r="A607" s="13"/>
      <c r="B607" s="21"/>
      <c r="C607" s="11"/>
      <c r="D607" s="11"/>
      <c r="E607" s="10"/>
      <c r="F607" s="10"/>
      <c r="G607" s="10"/>
      <c r="H607" s="10"/>
      <c r="I607" s="10"/>
      <c r="J607" s="10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9"/>
      <c r="AE607" s="8"/>
      <c r="AF607" s="6"/>
      <c r="AG607" s="6"/>
      <c r="AH607" s="6"/>
      <c r="AI607" s="9"/>
      <c r="AJ607" s="8"/>
      <c r="AK607" s="6"/>
    </row>
    <row r="608" spans="1:37" s="7" customFormat="1" ht="39" customHeight="1" x14ac:dyDescent="0.25">
      <c r="A608" s="13"/>
      <c r="B608" s="21"/>
      <c r="C608" s="11"/>
      <c r="D608" s="11"/>
      <c r="E608" s="10"/>
      <c r="F608" s="10"/>
      <c r="G608" s="10"/>
      <c r="H608" s="10"/>
      <c r="I608" s="10"/>
      <c r="J608" s="10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9"/>
      <c r="AE608" s="8"/>
      <c r="AF608" s="14"/>
      <c r="AG608" s="6"/>
      <c r="AH608" s="14"/>
      <c r="AI608" s="9"/>
      <c r="AJ608" s="8"/>
      <c r="AK608" s="6"/>
    </row>
    <row r="609" spans="1:37" s="7" customFormat="1" ht="39" customHeight="1" x14ac:dyDescent="0.25">
      <c r="A609" s="13"/>
      <c r="B609" s="21"/>
      <c r="C609" s="11"/>
      <c r="D609" s="11"/>
      <c r="E609" s="10"/>
      <c r="F609" s="10"/>
      <c r="G609" s="10"/>
      <c r="H609" s="10"/>
      <c r="I609" s="10"/>
      <c r="J609" s="10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9"/>
      <c r="AE609" s="8"/>
      <c r="AF609" s="6"/>
      <c r="AG609" s="6"/>
      <c r="AH609" s="6"/>
      <c r="AI609" s="9"/>
      <c r="AJ609" s="8"/>
      <c r="AK609" s="6"/>
    </row>
    <row r="610" spans="1:37" s="7" customFormat="1" ht="39" customHeight="1" x14ac:dyDescent="0.25">
      <c r="A610" s="13"/>
      <c r="B610" s="21"/>
      <c r="C610" s="11"/>
      <c r="D610" s="11"/>
      <c r="E610" s="10"/>
      <c r="F610" s="10"/>
      <c r="G610" s="10"/>
      <c r="H610" s="10"/>
      <c r="I610" s="10"/>
      <c r="J610" s="10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9"/>
      <c r="AE610" s="8"/>
      <c r="AF610" s="6"/>
      <c r="AG610" s="6"/>
      <c r="AH610" s="6"/>
      <c r="AI610" s="9"/>
      <c r="AJ610" s="8"/>
      <c r="AK610" s="6"/>
    </row>
    <row r="611" spans="1:37" s="7" customFormat="1" ht="39" customHeight="1" x14ac:dyDescent="0.25">
      <c r="A611" s="13"/>
      <c r="B611" s="21"/>
      <c r="C611" s="11"/>
      <c r="D611" s="11"/>
      <c r="E611" s="10"/>
      <c r="F611" s="10"/>
      <c r="G611" s="10"/>
      <c r="H611" s="10"/>
      <c r="I611" s="10"/>
      <c r="J611" s="10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9"/>
      <c r="AE611" s="8"/>
      <c r="AF611" s="6"/>
      <c r="AG611" s="6"/>
      <c r="AH611" s="14"/>
      <c r="AI611" s="9"/>
      <c r="AJ611" s="8"/>
      <c r="AK611" s="6"/>
    </row>
    <row r="612" spans="1:37" s="7" customFormat="1" ht="39" customHeight="1" x14ac:dyDescent="0.25">
      <c r="A612" s="13"/>
      <c r="B612" s="21"/>
      <c r="C612" s="11"/>
      <c r="D612" s="11"/>
      <c r="E612" s="10"/>
      <c r="F612" s="10"/>
      <c r="G612" s="10"/>
      <c r="H612" s="10"/>
      <c r="I612" s="10"/>
      <c r="J612" s="10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9"/>
      <c r="AE612" s="8"/>
      <c r="AF612" s="6"/>
      <c r="AG612" s="6"/>
      <c r="AH612" s="14"/>
      <c r="AI612" s="9"/>
      <c r="AJ612" s="8"/>
      <c r="AK612" s="6"/>
    </row>
    <row r="613" spans="1:37" s="7" customFormat="1" ht="39" customHeight="1" x14ac:dyDescent="0.25">
      <c r="A613" s="13"/>
      <c r="B613" s="21"/>
      <c r="C613" s="11"/>
      <c r="D613" s="11"/>
      <c r="E613" s="10"/>
      <c r="F613" s="10"/>
      <c r="G613" s="10"/>
      <c r="H613" s="10"/>
      <c r="I613" s="10"/>
      <c r="J613" s="10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9"/>
      <c r="AE613" s="8"/>
      <c r="AF613" s="14"/>
      <c r="AG613" s="6"/>
      <c r="AH613" s="14"/>
      <c r="AI613" s="9"/>
      <c r="AJ613" s="8"/>
      <c r="AK613" s="6"/>
    </row>
    <row r="614" spans="1:37" s="7" customFormat="1" ht="39" customHeight="1" x14ac:dyDescent="0.25">
      <c r="A614" s="20"/>
      <c r="B614" s="19"/>
      <c r="C614" s="25"/>
      <c r="D614" s="25"/>
      <c r="E614" s="24"/>
      <c r="F614" s="24"/>
      <c r="G614" s="24"/>
      <c r="H614" s="24"/>
      <c r="I614" s="24"/>
      <c r="J614" s="24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7"/>
      <c r="AE614" s="16"/>
      <c r="AF614" s="23"/>
      <c r="AG614" s="15"/>
      <c r="AH614" s="23"/>
      <c r="AI614" s="17"/>
      <c r="AJ614" s="16"/>
      <c r="AK614" s="15"/>
    </row>
    <row r="615" spans="1:37" s="7" customFormat="1" ht="39" customHeight="1" x14ac:dyDescent="0.25">
      <c r="A615" s="13"/>
      <c r="B615" s="21"/>
      <c r="C615" s="11"/>
      <c r="D615" s="11"/>
      <c r="E615" s="10"/>
      <c r="F615" s="10"/>
      <c r="G615" s="10"/>
      <c r="H615" s="10"/>
      <c r="I615" s="10"/>
      <c r="J615" s="10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9"/>
      <c r="AE615" s="8"/>
      <c r="AF615" s="6"/>
      <c r="AG615" s="6"/>
      <c r="AH615" s="6"/>
      <c r="AI615" s="9"/>
      <c r="AJ615" s="8"/>
      <c r="AK615" s="6"/>
    </row>
    <row r="616" spans="1:37" s="7" customFormat="1" ht="39" customHeight="1" x14ac:dyDescent="0.25">
      <c r="A616" s="13"/>
      <c r="B616" s="21"/>
      <c r="C616" s="11"/>
      <c r="D616" s="11"/>
      <c r="E616" s="6"/>
      <c r="F616" s="10"/>
      <c r="G616" s="10"/>
      <c r="H616" s="10"/>
      <c r="I616" s="10"/>
      <c r="J616" s="10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9"/>
      <c r="AE616" s="8"/>
      <c r="AF616" s="14"/>
      <c r="AG616" s="6"/>
      <c r="AH616" s="14"/>
      <c r="AI616" s="9"/>
      <c r="AJ616" s="8"/>
      <c r="AK616" s="6"/>
    </row>
    <row r="617" spans="1:37" s="7" customFormat="1" ht="39" customHeight="1" x14ac:dyDescent="0.25">
      <c r="A617" s="13"/>
      <c r="B617" s="21"/>
      <c r="C617" s="11"/>
      <c r="D617" s="11"/>
      <c r="E617" s="10"/>
      <c r="F617" s="10"/>
      <c r="G617" s="10"/>
      <c r="H617" s="10"/>
      <c r="I617" s="10"/>
      <c r="J617" s="10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9"/>
      <c r="AE617" s="8"/>
      <c r="AF617" s="6"/>
      <c r="AG617" s="6"/>
      <c r="AH617" s="6"/>
      <c r="AI617" s="9"/>
      <c r="AJ617" s="8"/>
      <c r="AK617" s="6"/>
    </row>
    <row r="618" spans="1:37" s="7" customFormat="1" ht="39" customHeight="1" x14ac:dyDescent="0.25">
      <c r="A618" s="13"/>
      <c r="B618" s="21"/>
      <c r="C618" s="11"/>
      <c r="D618" s="11"/>
      <c r="E618" s="6"/>
      <c r="F618" s="10"/>
      <c r="G618" s="10"/>
      <c r="H618" s="10"/>
      <c r="I618" s="10"/>
      <c r="J618" s="10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9"/>
      <c r="AE618" s="8"/>
      <c r="AF618" s="14"/>
      <c r="AG618" s="6"/>
      <c r="AH618" s="14"/>
      <c r="AI618" s="9"/>
      <c r="AJ618" s="8"/>
      <c r="AK618" s="6"/>
    </row>
    <row r="619" spans="1:37" s="7" customFormat="1" ht="39" customHeight="1" x14ac:dyDescent="0.25">
      <c r="A619" s="13"/>
      <c r="B619" s="21"/>
      <c r="C619" s="11"/>
      <c r="D619" s="11"/>
      <c r="E619" s="6"/>
      <c r="F619" s="10"/>
      <c r="G619" s="10"/>
      <c r="H619" s="10"/>
      <c r="I619" s="10"/>
      <c r="J619" s="10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9"/>
      <c r="AE619" s="8"/>
      <c r="AF619" s="6"/>
      <c r="AG619" s="6"/>
      <c r="AH619" s="6"/>
      <c r="AI619" s="9"/>
      <c r="AJ619" s="8"/>
      <c r="AK619" s="6"/>
    </row>
    <row r="620" spans="1:37" s="7" customFormat="1" ht="39" customHeight="1" x14ac:dyDescent="0.25">
      <c r="A620" s="13"/>
      <c r="B620" s="21"/>
      <c r="C620" s="11"/>
      <c r="D620" s="11"/>
      <c r="E620" s="10"/>
      <c r="F620" s="10"/>
      <c r="G620" s="10"/>
      <c r="H620" s="10"/>
      <c r="I620" s="10"/>
      <c r="J620" s="10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9"/>
      <c r="AE620" s="8"/>
      <c r="AF620" s="14"/>
      <c r="AG620" s="6"/>
      <c r="AH620" s="14"/>
      <c r="AI620" s="9"/>
      <c r="AJ620" s="8"/>
      <c r="AK620" s="6"/>
    </row>
    <row r="621" spans="1:37" s="7" customFormat="1" ht="39" customHeight="1" x14ac:dyDescent="0.25">
      <c r="A621" s="13"/>
      <c r="B621" s="12"/>
      <c r="C621" s="11"/>
      <c r="D621" s="21"/>
      <c r="E621" s="10"/>
      <c r="F621" s="10"/>
      <c r="G621" s="10"/>
      <c r="H621" s="10"/>
      <c r="I621" s="10"/>
      <c r="J621" s="10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9"/>
      <c r="AE621" s="8"/>
      <c r="AF621" s="6"/>
      <c r="AG621" s="6"/>
      <c r="AH621" s="6"/>
      <c r="AI621" s="9"/>
      <c r="AJ621" s="8"/>
      <c r="AK621" s="6"/>
    </row>
    <row r="622" spans="1:37" s="7" customFormat="1" ht="39" customHeight="1" x14ac:dyDescent="0.25">
      <c r="A622" s="13"/>
      <c r="B622" s="21"/>
      <c r="C622" s="11"/>
      <c r="D622" s="11"/>
      <c r="E622" s="10"/>
      <c r="F622" s="10"/>
      <c r="G622" s="10"/>
      <c r="H622" s="10"/>
      <c r="I622" s="10"/>
      <c r="J622" s="10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9"/>
      <c r="AE622" s="8"/>
      <c r="AF622" s="6"/>
      <c r="AG622" s="6"/>
      <c r="AH622" s="6"/>
      <c r="AI622" s="9"/>
      <c r="AJ622" s="8"/>
      <c r="AK622" s="6"/>
    </row>
    <row r="623" spans="1:37" s="7" customFormat="1" ht="39" customHeight="1" x14ac:dyDescent="0.25">
      <c r="A623" s="13"/>
      <c r="B623" s="12"/>
      <c r="C623" s="11"/>
      <c r="D623" s="11"/>
      <c r="E623" s="10"/>
      <c r="F623" s="10"/>
      <c r="G623" s="10"/>
      <c r="H623" s="10"/>
      <c r="I623" s="10"/>
      <c r="J623" s="10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9"/>
      <c r="AE623" s="8"/>
      <c r="AF623" s="14"/>
      <c r="AG623" s="6"/>
      <c r="AH623" s="14"/>
      <c r="AI623" s="9"/>
      <c r="AJ623" s="8"/>
      <c r="AK623" s="6"/>
    </row>
    <row r="624" spans="1:37" s="7" customFormat="1" ht="39" customHeight="1" x14ac:dyDescent="0.25">
      <c r="A624" s="13"/>
      <c r="B624" s="12"/>
      <c r="C624" s="11"/>
      <c r="D624" s="11"/>
      <c r="E624" s="10"/>
      <c r="F624" s="10"/>
      <c r="G624" s="10"/>
      <c r="H624" s="10"/>
      <c r="I624" s="10"/>
      <c r="J624" s="10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9"/>
      <c r="AE624" s="8"/>
      <c r="AF624" s="6"/>
      <c r="AG624" s="6"/>
      <c r="AH624" s="6"/>
      <c r="AI624" s="9"/>
      <c r="AJ624" s="8"/>
      <c r="AK624" s="6"/>
    </row>
    <row r="625" spans="1:37" s="7" customFormat="1" ht="39" customHeight="1" x14ac:dyDescent="0.25">
      <c r="A625" s="13"/>
      <c r="B625" s="21"/>
      <c r="C625" s="11"/>
      <c r="D625" s="11"/>
      <c r="E625" s="10"/>
      <c r="F625" s="10"/>
      <c r="G625" s="10"/>
      <c r="H625" s="10"/>
      <c r="I625" s="10"/>
      <c r="J625" s="10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9"/>
      <c r="AE625" s="8"/>
      <c r="AF625" s="14"/>
      <c r="AG625" s="6"/>
      <c r="AH625" s="14"/>
      <c r="AI625" s="9"/>
      <c r="AJ625" s="8"/>
      <c r="AK625" s="6"/>
    </row>
    <row r="626" spans="1:37" s="7" customFormat="1" ht="39" customHeight="1" x14ac:dyDescent="0.25">
      <c r="A626" s="13"/>
      <c r="B626" s="12"/>
      <c r="C626" s="11"/>
      <c r="D626" s="11"/>
      <c r="E626" s="6"/>
      <c r="F626" s="10"/>
      <c r="G626" s="10"/>
      <c r="H626" s="10"/>
      <c r="I626" s="10"/>
      <c r="J626" s="10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9"/>
      <c r="AE626" s="8"/>
      <c r="AF626" s="6"/>
      <c r="AG626" s="6"/>
      <c r="AH626" s="6"/>
      <c r="AI626" s="9"/>
      <c r="AJ626" s="8"/>
      <c r="AK626" s="6"/>
    </row>
    <row r="627" spans="1:37" s="7" customFormat="1" ht="39" customHeight="1" x14ac:dyDescent="0.25">
      <c r="A627" s="13"/>
      <c r="B627" s="12"/>
      <c r="C627" s="11"/>
      <c r="D627" s="11"/>
      <c r="E627" s="10"/>
      <c r="F627" s="10"/>
      <c r="G627" s="10"/>
      <c r="H627" s="10"/>
      <c r="I627" s="10"/>
      <c r="J627" s="10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9"/>
      <c r="AE627" s="8"/>
      <c r="AF627" s="6"/>
      <c r="AG627" s="6"/>
      <c r="AH627" s="6"/>
      <c r="AI627" s="9"/>
      <c r="AJ627" s="8"/>
      <c r="AK627" s="6"/>
    </row>
    <row r="628" spans="1:37" s="7" customFormat="1" ht="39" customHeight="1" x14ac:dyDescent="0.25">
      <c r="A628" s="13"/>
      <c r="B628" s="21"/>
      <c r="C628" s="11"/>
      <c r="D628" s="11"/>
      <c r="E628" s="10"/>
      <c r="F628" s="10"/>
      <c r="G628" s="10"/>
      <c r="H628" s="10"/>
      <c r="I628" s="10"/>
      <c r="J628" s="10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9"/>
      <c r="AE628" s="8"/>
      <c r="AF628" s="6"/>
      <c r="AG628" s="6"/>
      <c r="AH628" s="6"/>
      <c r="AI628" s="9"/>
      <c r="AJ628" s="8"/>
      <c r="AK628" s="6"/>
    </row>
    <row r="629" spans="1:37" s="7" customFormat="1" ht="39" customHeight="1" x14ac:dyDescent="0.25">
      <c r="A629" s="13"/>
      <c r="B629" s="21"/>
      <c r="C629" s="11"/>
      <c r="D629" s="11"/>
      <c r="E629" s="10"/>
      <c r="F629" s="10"/>
      <c r="G629" s="10"/>
      <c r="H629" s="10"/>
      <c r="I629" s="10"/>
      <c r="J629" s="10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9"/>
      <c r="AE629" s="8"/>
      <c r="AF629" s="14"/>
      <c r="AG629" s="6"/>
      <c r="AH629" s="14"/>
      <c r="AI629" s="9"/>
      <c r="AJ629" s="8"/>
      <c r="AK629" s="6"/>
    </row>
    <row r="630" spans="1:37" s="7" customFormat="1" ht="39" customHeight="1" x14ac:dyDescent="0.25">
      <c r="A630" s="13"/>
      <c r="B630" s="12"/>
      <c r="C630" s="11"/>
      <c r="D630" s="11"/>
      <c r="E630" s="10"/>
      <c r="F630" s="10"/>
      <c r="G630" s="10"/>
      <c r="H630" s="10"/>
      <c r="I630" s="10"/>
      <c r="J630" s="10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9"/>
      <c r="AE630" s="8"/>
      <c r="AF630" s="14"/>
      <c r="AG630" s="6"/>
      <c r="AH630" s="14"/>
      <c r="AI630" s="9"/>
      <c r="AJ630" s="8"/>
      <c r="AK630" s="6"/>
    </row>
    <row r="631" spans="1:37" s="7" customFormat="1" ht="39" customHeight="1" x14ac:dyDescent="0.25">
      <c r="A631" s="13"/>
      <c r="B631" s="21"/>
      <c r="C631" s="11"/>
      <c r="D631" s="11"/>
      <c r="E631" s="10"/>
      <c r="F631" s="10"/>
      <c r="G631" s="10"/>
      <c r="H631" s="10"/>
      <c r="I631" s="10"/>
      <c r="J631" s="10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9"/>
      <c r="AE631" s="8"/>
      <c r="AF631" s="6"/>
      <c r="AG631" s="6"/>
      <c r="AH631" s="6"/>
      <c r="AI631" s="9"/>
      <c r="AJ631" s="8"/>
      <c r="AK631" s="6"/>
    </row>
    <row r="632" spans="1:37" s="7" customFormat="1" ht="39" customHeight="1" x14ac:dyDescent="0.25">
      <c r="A632" s="13"/>
      <c r="B632" s="21"/>
      <c r="C632" s="11"/>
      <c r="D632" s="11"/>
      <c r="E632" s="21"/>
      <c r="F632" s="21"/>
      <c r="G632" s="21"/>
      <c r="H632" s="21"/>
      <c r="I632" s="21"/>
      <c r="J632" s="21"/>
      <c r="K632" s="21"/>
      <c r="L632" s="6"/>
      <c r="M632" s="21"/>
      <c r="N632" s="21"/>
      <c r="O632" s="21"/>
      <c r="P632" s="21"/>
      <c r="Q632" s="21"/>
      <c r="R632" s="6"/>
      <c r="S632" s="6"/>
      <c r="T632" s="6"/>
      <c r="U632" s="21"/>
      <c r="V632" s="21"/>
      <c r="W632" s="6"/>
      <c r="X632" s="6"/>
      <c r="Y632" s="6"/>
      <c r="Z632" s="6"/>
      <c r="AA632" s="6"/>
      <c r="AB632" s="6"/>
      <c r="AC632" s="22"/>
      <c r="AD632" s="9"/>
      <c r="AE632" s="8"/>
      <c r="AF632" s="6"/>
      <c r="AG632" s="6"/>
      <c r="AH632" s="6"/>
      <c r="AI632" s="9"/>
      <c r="AJ632" s="8"/>
      <c r="AK632" s="6"/>
    </row>
    <row r="633" spans="1:37" s="7" customFormat="1" ht="39" customHeight="1" x14ac:dyDescent="0.25">
      <c r="A633" s="13"/>
      <c r="B633" s="21"/>
      <c r="C633" s="21"/>
      <c r="D633" s="21"/>
      <c r="E633" s="10"/>
      <c r="F633" s="10"/>
      <c r="G633" s="10"/>
      <c r="H633" s="10"/>
      <c r="I633" s="10"/>
      <c r="J633" s="10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9"/>
      <c r="AE633" s="8"/>
      <c r="AF633" s="6"/>
      <c r="AG633" s="6"/>
      <c r="AH633" s="6"/>
      <c r="AI633" s="9"/>
      <c r="AJ633" s="8"/>
      <c r="AK633" s="6"/>
    </row>
    <row r="634" spans="1:37" s="7" customFormat="1" ht="39" customHeight="1" x14ac:dyDescent="0.25">
      <c r="A634" s="13"/>
      <c r="B634" s="21"/>
      <c r="C634" s="11"/>
      <c r="D634" s="11"/>
      <c r="E634" s="10"/>
      <c r="F634" s="10"/>
      <c r="G634" s="10"/>
      <c r="H634" s="10"/>
      <c r="I634" s="10"/>
      <c r="J634" s="10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9"/>
      <c r="AE634" s="8"/>
      <c r="AF634" s="14"/>
      <c r="AG634" s="6"/>
      <c r="AH634" s="14"/>
      <c r="AI634" s="9"/>
      <c r="AJ634" s="8"/>
      <c r="AK634" s="6"/>
    </row>
    <row r="635" spans="1:37" s="7" customFormat="1" ht="39" customHeight="1" x14ac:dyDescent="0.25">
      <c r="A635" s="13"/>
      <c r="B635" s="21"/>
      <c r="C635" s="11"/>
      <c r="D635" s="11"/>
      <c r="E635" s="10"/>
      <c r="F635" s="10"/>
      <c r="G635" s="10"/>
      <c r="H635" s="10"/>
      <c r="I635" s="10"/>
      <c r="J635" s="10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9"/>
      <c r="AE635" s="8"/>
      <c r="AF635" s="6"/>
      <c r="AG635" s="6"/>
      <c r="AH635" s="6"/>
      <c r="AI635" s="9"/>
      <c r="AJ635" s="8"/>
      <c r="AK635" s="6"/>
    </row>
    <row r="636" spans="1:37" s="7" customFormat="1" ht="39" customHeight="1" x14ac:dyDescent="0.25">
      <c r="A636" s="13"/>
      <c r="B636" s="21"/>
      <c r="C636" s="11"/>
      <c r="D636" s="11"/>
      <c r="E636" s="10"/>
      <c r="F636" s="10"/>
      <c r="G636" s="10"/>
      <c r="H636" s="10"/>
      <c r="I636" s="10"/>
      <c r="J636" s="10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9"/>
      <c r="AE636" s="8"/>
      <c r="AF636" s="6"/>
      <c r="AG636" s="6"/>
      <c r="AH636" s="6"/>
      <c r="AI636" s="9"/>
      <c r="AJ636" s="8"/>
      <c r="AK636" s="6"/>
    </row>
    <row r="637" spans="1:37" s="7" customFormat="1" ht="39" customHeight="1" x14ac:dyDescent="0.25">
      <c r="A637" s="13"/>
      <c r="B637" s="21"/>
      <c r="C637" s="11"/>
      <c r="D637" s="11"/>
      <c r="E637" s="10"/>
      <c r="F637" s="10"/>
      <c r="G637" s="10"/>
      <c r="H637" s="10"/>
      <c r="I637" s="10"/>
      <c r="J637" s="10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9"/>
      <c r="AE637" s="8"/>
      <c r="AF637" s="6"/>
      <c r="AG637" s="6"/>
      <c r="AH637" s="14"/>
      <c r="AI637" s="9"/>
      <c r="AJ637" s="8"/>
      <c r="AK637" s="6"/>
    </row>
    <row r="638" spans="1:37" s="7" customFormat="1" ht="39" customHeight="1" x14ac:dyDescent="0.25">
      <c r="A638" s="13"/>
      <c r="B638" s="21"/>
      <c r="C638" s="11"/>
      <c r="D638" s="11"/>
      <c r="E638" s="10"/>
      <c r="F638" s="10"/>
      <c r="G638" s="10"/>
      <c r="H638" s="10"/>
      <c r="I638" s="10"/>
      <c r="J638" s="10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9"/>
      <c r="AE638" s="8"/>
      <c r="AF638" s="6"/>
      <c r="AG638" s="6"/>
      <c r="AH638" s="14"/>
      <c r="AI638" s="9"/>
      <c r="AJ638" s="8"/>
      <c r="AK638" s="6"/>
    </row>
    <row r="639" spans="1:37" s="7" customFormat="1" ht="39" customHeight="1" x14ac:dyDescent="0.25">
      <c r="A639" s="13"/>
      <c r="B639" s="21"/>
      <c r="C639" s="11"/>
      <c r="D639" s="11"/>
      <c r="E639" s="10"/>
      <c r="F639" s="10"/>
      <c r="G639" s="10"/>
      <c r="H639" s="10"/>
      <c r="I639" s="10"/>
      <c r="J639" s="10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9"/>
      <c r="AE639" s="8"/>
      <c r="AF639" s="14"/>
      <c r="AG639" s="6"/>
      <c r="AH639" s="14"/>
      <c r="AI639" s="9"/>
      <c r="AJ639" s="8"/>
      <c r="AK639" s="6"/>
    </row>
    <row r="640" spans="1:37" s="7" customFormat="1" ht="39" customHeight="1" x14ac:dyDescent="0.25">
      <c r="A640" s="13"/>
      <c r="B640" s="21"/>
      <c r="C640" s="11"/>
      <c r="D640" s="11"/>
      <c r="E640" s="10"/>
      <c r="F640" s="10"/>
      <c r="G640" s="10"/>
      <c r="H640" s="10"/>
      <c r="I640" s="10"/>
      <c r="J640" s="10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9"/>
      <c r="AE640" s="8"/>
      <c r="AF640" s="14"/>
      <c r="AG640" s="6"/>
      <c r="AH640" s="14"/>
      <c r="AI640" s="9"/>
      <c r="AJ640" s="8"/>
      <c r="AK640" s="6"/>
    </row>
    <row r="641" spans="1:37" s="7" customFormat="1" ht="39" customHeight="1" x14ac:dyDescent="0.25">
      <c r="A641" s="20"/>
      <c r="B641" s="19"/>
      <c r="C641" s="25"/>
      <c r="D641" s="25"/>
      <c r="E641" s="24"/>
      <c r="F641" s="24"/>
      <c r="G641" s="24"/>
      <c r="H641" s="24"/>
      <c r="I641" s="24"/>
      <c r="J641" s="24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7"/>
      <c r="AE641" s="16"/>
      <c r="AF641" s="15"/>
      <c r="AG641" s="15"/>
      <c r="AH641" s="15"/>
      <c r="AI641" s="17"/>
      <c r="AJ641" s="16"/>
      <c r="AK641" s="15"/>
    </row>
    <row r="642" spans="1:37" s="7" customFormat="1" ht="39" customHeight="1" x14ac:dyDescent="0.25">
      <c r="A642" s="13"/>
      <c r="B642" s="21"/>
      <c r="C642" s="11"/>
      <c r="D642" s="11"/>
      <c r="E642" s="6"/>
      <c r="F642" s="10"/>
      <c r="G642" s="10"/>
      <c r="H642" s="10"/>
      <c r="I642" s="10"/>
      <c r="J642" s="10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9"/>
      <c r="AE642" s="8"/>
      <c r="AF642" s="14"/>
      <c r="AG642" s="6"/>
      <c r="AH642" s="14"/>
      <c r="AI642" s="9"/>
      <c r="AJ642" s="8"/>
      <c r="AK642" s="6"/>
    </row>
    <row r="643" spans="1:37" s="7" customFormat="1" ht="39" customHeight="1" x14ac:dyDescent="0.25">
      <c r="A643" s="13"/>
      <c r="B643" s="21"/>
      <c r="C643" s="11"/>
      <c r="D643" s="11"/>
      <c r="E643" s="10"/>
      <c r="F643" s="10"/>
      <c r="G643" s="10"/>
      <c r="H643" s="10"/>
      <c r="I643" s="10"/>
      <c r="J643" s="10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9"/>
      <c r="AE643" s="8"/>
      <c r="AF643" s="6"/>
      <c r="AG643" s="6"/>
      <c r="AH643" s="6"/>
      <c r="AI643" s="9"/>
      <c r="AJ643" s="8"/>
      <c r="AK643" s="6"/>
    </row>
    <row r="644" spans="1:37" s="7" customFormat="1" ht="39" customHeight="1" x14ac:dyDescent="0.25">
      <c r="A644" s="13"/>
      <c r="B644" s="21"/>
      <c r="C644" s="11"/>
      <c r="D644" s="11"/>
      <c r="E644" s="6"/>
      <c r="F644" s="10"/>
      <c r="G644" s="10"/>
      <c r="H644" s="10"/>
      <c r="I644" s="10"/>
      <c r="J644" s="10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9"/>
      <c r="AE644" s="8"/>
      <c r="AF644" s="14"/>
      <c r="AG644" s="6"/>
      <c r="AH644" s="14"/>
      <c r="AI644" s="9"/>
      <c r="AJ644" s="8"/>
      <c r="AK644" s="6"/>
    </row>
    <row r="645" spans="1:37" s="7" customFormat="1" ht="39" customHeight="1" x14ac:dyDescent="0.25">
      <c r="A645" s="13"/>
      <c r="B645" s="21"/>
      <c r="C645" s="11"/>
      <c r="D645" s="11"/>
      <c r="E645" s="6"/>
      <c r="F645" s="10"/>
      <c r="G645" s="10"/>
      <c r="H645" s="10"/>
      <c r="I645" s="10"/>
      <c r="J645" s="10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9"/>
      <c r="AE645" s="8"/>
      <c r="AF645" s="6"/>
      <c r="AG645" s="6"/>
      <c r="AH645" s="6"/>
      <c r="AI645" s="9"/>
      <c r="AJ645" s="8"/>
      <c r="AK645" s="6"/>
    </row>
    <row r="646" spans="1:37" s="7" customFormat="1" ht="39" customHeight="1" x14ac:dyDescent="0.25">
      <c r="A646" s="13"/>
      <c r="B646" s="21"/>
      <c r="C646" s="11"/>
      <c r="D646" s="11"/>
      <c r="E646" s="10"/>
      <c r="F646" s="10"/>
      <c r="G646" s="10"/>
      <c r="H646" s="10"/>
      <c r="I646" s="10"/>
      <c r="J646" s="10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9"/>
      <c r="AE646" s="8"/>
      <c r="AF646" s="14"/>
      <c r="AG646" s="6"/>
      <c r="AH646" s="14"/>
      <c r="AI646" s="9"/>
      <c r="AJ646" s="8"/>
      <c r="AK646" s="6"/>
    </row>
    <row r="647" spans="1:37" s="7" customFormat="1" ht="39" customHeight="1" x14ac:dyDescent="0.25">
      <c r="A647" s="13"/>
      <c r="B647" s="21"/>
      <c r="C647" s="11"/>
      <c r="D647" s="11"/>
      <c r="E647" s="10"/>
      <c r="F647" s="10"/>
      <c r="G647" s="10"/>
      <c r="H647" s="10"/>
      <c r="I647" s="10"/>
      <c r="J647" s="10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9"/>
      <c r="AE647" s="8"/>
      <c r="AF647" s="6"/>
      <c r="AG647" s="6"/>
      <c r="AH647" s="6"/>
      <c r="AI647" s="9"/>
      <c r="AJ647" s="8"/>
      <c r="AK647" s="6"/>
    </row>
    <row r="648" spans="1:37" s="7" customFormat="1" ht="39" customHeight="1" x14ac:dyDescent="0.25">
      <c r="A648" s="13"/>
      <c r="B648" s="12"/>
      <c r="C648" s="11"/>
      <c r="D648" s="21"/>
      <c r="E648" s="10"/>
      <c r="F648" s="10"/>
      <c r="G648" s="10"/>
      <c r="H648" s="10"/>
      <c r="I648" s="10"/>
      <c r="J648" s="10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9"/>
      <c r="AE648" s="8"/>
      <c r="AF648" s="6"/>
      <c r="AG648" s="6"/>
      <c r="AH648" s="6"/>
      <c r="AI648" s="9"/>
      <c r="AJ648" s="8"/>
      <c r="AK648" s="6"/>
    </row>
    <row r="649" spans="1:37" s="7" customFormat="1" ht="39" customHeight="1" x14ac:dyDescent="0.25">
      <c r="A649" s="13"/>
      <c r="B649" s="21"/>
      <c r="C649" s="11"/>
      <c r="D649" s="11"/>
      <c r="E649" s="10"/>
      <c r="F649" s="10"/>
      <c r="G649" s="10"/>
      <c r="H649" s="10"/>
      <c r="I649" s="10"/>
      <c r="J649" s="10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9"/>
      <c r="AE649" s="8"/>
      <c r="AF649" s="14"/>
      <c r="AG649" s="6"/>
      <c r="AH649" s="14"/>
      <c r="AI649" s="9"/>
      <c r="AJ649" s="8"/>
      <c r="AK649" s="6"/>
    </row>
    <row r="650" spans="1:37" s="7" customFormat="1" ht="39" customHeight="1" x14ac:dyDescent="0.25">
      <c r="A650" s="13"/>
      <c r="B650" s="12"/>
      <c r="C650" s="11"/>
      <c r="D650" s="11"/>
      <c r="E650" s="10"/>
      <c r="F650" s="10"/>
      <c r="G650" s="10"/>
      <c r="H650" s="10"/>
      <c r="I650" s="10"/>
      <c r="J650" s="10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9"/>
      <c r="AE650" s="8"/>
      <c r="AF650" s="6"/>
      <c r="AG650" s="6"/>
      <c r="AH650" s="6"/>
      <c r="AI650" s="9"/>
      <c r="AJ650" s="8"/>
      <c r="AK650" s="6"/>
    </row>
    <row r="651" spans="1:37" s="7" customFormat="1" ht="39" customHeight="1" x14ac:dyDescent="0.25">
      <c r="A651" s="13"/>
      <c r="B651" s="12"/>
      <c r="C651" s="11"/>
      <c r="D651" s="11"/>
      <c r="E651" s="10"/>
      <c r="F651" s="10"/>
      <c r="G651" s="10"/>
      <c r="H651" s="10"/>
      <c r="I651" s="10"/>
      <c r="J651" s="10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9"/>
      <c r="AE651" s="8"/>
      <c r="AF651" s="14"/>
      <c r="AG651" s="6"/>
      <c r="AH651" s="14"/>
      <c r="AI651" s="9"/>
      <c r="AJ651" s="8"/>
      <c r="AK651" s="6"/>
    </row>
    <row r="652" spans="1:37" s="7" customFormat="1" ht="39" customHeight="1" x14ac:dyDescent="0.25">
      <c r="A652" s="13"/>
      <c r="B652" s="21"/>
      <c r="C652" s="11"/>
      <c r="D652" s="11"/>
      <c r="E652" s="6"/>
      <c r="F652" s="10"/>
      <c r="G652" s="10"/>
      <c r="H652" s="10"/>
      <c r="I652" s="10"/>
      <c r="J652" s="10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9"/>
      <c r="AE652" s="8"/>
      <c r="AF652" s="6"/>
      <c r="AG652" s="6"/>
      <c r="AH652" s="6"/>
      <c r="AI652" s="9"/>
      <c r="AJ652" s="8"/>
      <c r="AK652" s="6"/>
    </row>
    <row r="653" spans="1:37" s="7" customFormat="1" ht="39" customHeight="1" x14ac:dyDescent="0.25">
      <c r="A653" s="13"/>
      <c r="B653" s="12"/>
      <c r="C653" s="11"/>
      <c r="D653" s="11"/>
      <c r="E653" s="10"/>
      <c r="F653" s="10"/>
      <c r="G653" s="10"/>
      <c r="H653" s="10"/>
      <c r="I653" s="10"/>
      <c r="J653" s="10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9"/>
      <c r="AE653" s="8"/>
      <c r="AF653" s="6"/>
      <c r="AG653" s="6"/>
      <c r="AH653" s="6"/>
      <c r="AI653" s="9"/>
      <c r="AJ653" s="8"/>
      <c r="AK653" s="6"/>
    </row>
    <row r="654" spans="1:37" s="7" customFormat="1" ht="39" customHeight="1" x14ac:dyDescent="0.25">
      <c r="A654" s="13"/>
      <c r="B654" s="12"/>
      <c r="C654" s="11"/>
      <c r="D654" s="11"/>
      <c r="E654" s="10"/>
      <c r="F654" s="10"/>
      <c r="G654" s="10"/>
      <c r="H654" s="10"/>
      <c r="I654" s="10"/>
      <c r="J654" s="10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9"/>
      <c r="AE654" s="8"/>
      <c r="AF654" s="6"/>
      <c r="AG654" s="6"/>
      <c r="AH654" s="6"/>
      <c r="AI654" s="9"/>
      <c r="AJ654" s="8"/>
      <c r="AK654" s="6"/>
    </row>
    <row r="655" spans="1:37" s="7" customFormat="1" ht="39" customHeight="1" x14ac:dyDescent="0.25">
      <c r="A655" s="13"/>
      <c r="B655" s="21"/>
      <c r="C655" s="11"/>
      <c r="D655" s="11"/>
      <c r="E655" s="10"/>
      <c r="F655" s="10"/>
      <c r="G655" s="10"/>
      <c r="H655" s="10"/>
      <c r="I655" s="10"/>
      <c r="J655" s="10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9"/>
      <c r="AE655" s="8"/>
      <c r="AF655" s="14"/>
      <c r="AG655" s="6"/>
      <c r="AH655" s="14"/>
      <c r="AI655" s="9"/>
      <c r="AJ655" s="8"/>
      <c r="AK655" s="6"/>
    </row>
    <row r="656" spans="1:37" s="7" customFormat="1" ht="39" customHeight="1" x14ac:dyDescent="0.25">
      <c r="A656" s="13"/>
      <c r="B656" s="21"/>
      <c r="C656" s="11"/>
      <c r="D656" s="11"/>
      <c r="E656" s="10"/>
      <c r="F656" s="10"/>
      <c r="G656" s="10"/>
      <c r="H656" s="10"/>
      <c r="I656" s="10"/>
      <c r="J656" s="10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9"/>
      <c r="AE656" s="8"/>
      <c r="AF656" s="14"/>
      <c r="AG656" s="6"/>
      <c r="AH656" s="14"/>
      <c r="AI656" s="9"/>
      <c r="AJ656" s="8"/>
      <c r="AK656" s="6"/>
    </row>
    <row r="657" spans="1:37" s="7" customFormat="1" ht="39" customHeight="1" x14ac:dyDescent="0.25">
      <c r="A657" s="13"/>
      <c r="B657" s="12"/>
      <c r="C657" s="11"/>
      <c r="D657" s="11"/>
      <c r="E657" s="10"/>
      <c r="F657" s="10"/>
      <c r="G657" s="10"/>
      <c r="H657" s="10"/>
      <c r="I657" s="10"/>
      <c r="J657" s="10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9"/>
      <c r="AE657" s="8"/>
      <c r="AF657" s="6"/>
      <c r="AG657" s="6"/>
      <c r="AH657" s="6"/>
      <c r="AI657" s="9"/>
      <c r="AJ657" s="8"/>
      <c r="AK657" s="6"/>
    </row>
    <row r="658" spans="1:37" s="7" customFormat="1" ht="39" customHeight="1" x14ac:dyDescent="0.25">
      <c r="A658" s="13"/>
      <c r="B658" s="21"/>
      <c r="C658" s="11"/>
      <c r="D658" s="11"/>
      <c r="E658" s="21"/>
      <c r="F658" s="21"/>
      <c r="G658" s="21"/>
      <c r="H658" s="21"/>
      <c r="I658" s="21"/>
      <c r="J658" s="21"/>
      <c r="K658" s="21"/>
      <c r="L658" s="6"/>
      <c r="M658" s="21"/>
      <c r="N658" s="21"/>
      <c r="O658" s="21"/>
      <c r="P658" s="21"/>
      <c r="Q658" s="21"/>
      <c r="R658" s="6"/>
      <c r="S658" s="6"/>
      <c r="T658" s="6"/>
      <c r="U658" s="21"/>
      <c r="V658" s="21"/>
      <c r="W658" s="6"/>
      <c r="X658" s="6"/>
      <c r="Y658" s="6"/>
      <c r="Z658" s="6"/>
      <c r="AA658" s="6"/>
      <c r="AB658" s="6"/>
      <c r="AC658" s="22"/>
      <c r="AD658" s="9"/>
      <c r="AE658" s="8"/>
      <c r="AF658" s="6"/>
      <c r="AG658" s="6"/>
      <c r="AH658" s="6"/>
      <c r="AI658" s="9"/>
      <c r="AJ658" s="8"/>
      <c r="AK658" s="6"/>
    </row>
    <row r="659" spans="1:37" s="7" customFormat="1" ht="39" customHeight="1" x14ac:dyDescent="0.25">
      <c r="A659" s="13"/>
      <c r="B659" s="21"/>
      <c r="C659" s="11"/>
      <c r="D659" s="11"/>
      <c r="E659" s="10"/>
      <c r="F659" s="10"/>
      <c r="G659" s="10"/>
      <c r="H659" s="10"/>
      <c r="I659" s="10"/>
      <c r="J659" s="10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9"/>
      <c r="AE659" s="8"/>
      <c r="AF659" s="6"/>
      <c r="AG659" s="6"/>
      <c r="AH659" s="6"/>
      <c r="AI659" s="9"/>
      <c r="AJ659" s="8"/>
      <c r="AK659" s="6"/>
    </row>
    <row r="660" spans="1:37" s="7" customFormat="1" ht="39" customHeight="1" x14ac:dyDescent="0.25">
      <c r="A660" s="13"/>
      <c r="B660" s="21"/>
      <c r="C660" s="21"/>
      <c r="D660" s="21"/>
      <c r="E660" s="10"/>
      <c r="F660" s="10"/>
      <c r="G660" s="10"/>
      <c r="H660" s="10"/>
      <c r="I660" s="10"/>
      <c r="J660" s="10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9"/>
      <c r="AE660" s="8"/>
      <c r="AF660" s="14"/>
      <c r="AG660" s="6"/>
      <c r="AH660" s="14"/>
      <c r="AI660" s="9"/>
      <c r="AJ660" s="8"/>
      <c r="AK660" s="6"/>
    </row>
    <row r="661" spans="1:37" s="7" customFormat="1" ht="39" customHeight="1" x14ac:dyDescent="0.25">
      <c r="A661" s="13"/>
      <c r="B661" s="21"/>
      <c r="C661" s="11"/>
      <c r="D661" s="11"/>
      <c r="E661" s="10"/>
      <c r="F661" s="10"/>
      <c r="G661" s="10"/>
      <c r="H661" s="10"/>
      <c r="I661" s="10"/>
      <c r="J661" s="10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9"/>
      <c r="AE661" s="8"/>
      <c r="AF661" s="6"/>
      <c r="AG661" s="6"/>
      <c r="AH661" s="6"/>
      <c r="AI661" s="9"/>
      <c r="AJ661" s="8"/>
      <c r="AK661" s="6"/>
    </row>
    <row r="662" spans="1:37" s="7" customFormat="1" ht="39" customHeight="1" x14ac:dyDescent="0.25">
      <c r="A662" s="13"/>
      <c r="B662" s="21"/>
      <c r="C662" s="11"/>
      <c r="D662" s="11"/>
      <c r="E662" s="10"/>
      <c r="F662" s="10"/>
      <c r="G662" s="10"/>
      <c r="H662" s="10"/>
      <c r="I662" s="10"/>
      <c r="J662" s="10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9"/>
      <c r="AE662" s="8"/>
      <c r="AF662" s="6"/>
      <c r="AG662" s="6"/>
      <c r="AH662" s="6"/>
      <c r="AI662" s="9"/>
      <c r="AJ662" s="8"/>
      <c r="AK662" s="6"/>
    </row>
    <row r="663" spans="1:37" s="7" customFormat="1" ht="39" customHeight="1" x14ac:dyDescent="0.25">
      <c r="A663" s="13"/>
      <c r="B663" s="21"/>
      <c r="C663" s="11"/>
      <c r="D663" s="11"/>
      <c r="E663" s="10"/>
      <c r="F663" s="10"/>
      <c r="G663" s="10"/>
      <c r="H663" s="10"/>
      <c r="I663" s="10"/>
      <c r="J663" s="10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9"/>
      <c r="AE663" s="8"/>
      <c r="AF663" s="6"/>
      <c r="AG663" s="6"/>
      <c r="AH663" s="14"/>
      <c r="AI663" s="9"/>
      <c r="AJ663" s="8"/>
      <c r="AK663" s="6"/>
    </row>
    <row r="664" spans="1:37" s="7" customFormat="1" ht="39" customHeight="1" x14ac:dyDescent="0.25">
      <c r="A664" s="13"/>
      <c r="B664" s="21"/>
      <c r="C664" s="11"/>
      <c r="D664" s="11"/>
      <c r="E664" s="10"/>
      <c r="F664" s="10"/>
      <c r="G664" s="10"/>
      <c r="H664" s="10"/>
      <c r="I664" s="10"/>
      <c r="J664" s="10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9"/>
      <c r="AE664" s="8"/>
      <c r="AF664" s="6"/>
      <c r="AG664" s="6"/>
      <c r="AH664" s="14"/>
      <c r="AI664" s="9"/>
      <c r="AJ664" s="8"/>
      <c r="AK664" s="6"/>
    </row>
    <row r="665" spans="1:37" s="7" customFormat="1" ht="39" customHeight="1" x14ac:dyDescent="0.25">
      <c r="A665" s="13"/>
      <c r="B665" s="21"/>
      <c r="C665" s="11"/>
      <c r="D665" s="11"/>
      <c r="E665" s="10"/>
      <c r="F665" s="10"/>
      <c r="G665" s="10"/>
      <c r="H665" s="10"/>
      <c r="I665" s="10"/>
      <c r="J665" s="10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9"/>
      <c r="AE665" s="8"/>
      <c r="AF665" s="14"/>
      <c r="AG665" s="6"/>
      <c r="AH665" s="14"/>
      <c r="AI665" s="9"/>
      <c r="AJ665" s="8"/>
      <c r="AK665" s="6"/>
    </row>
    <row r="666" spans="1:37" s="7" customFormat="1" ht="39" customHeight="1" x14ac:dyDescent="0.25">
      <c r="A666" s="13"/>
      <c r="B666" s="21"/>
      <c r="C666" s="11"/>
      <c r="D666" s="11"/>
      <c r="E666" s="10"/>
      <c r="F666" s="10"/>
      <c r="G666" s="10"/>
      <c r="H666" s="10"/>
      <c r="I666" s="10"/>
      <c r="J666" s="10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9"/>
      <c r="AE666" s="8"/>
      <c r="AF666" s="14"/>
      <c r="AG666" s="6"/>
      <c r="AH666" s="14"/>
      <c r="AI666" s="9"/>
      <c r="AJ666" s="8"/>
      <c r="AK666" s="6"/>
    </row>
    <row r="667" spans="1:37" s="7" customFormat="1" ht="39" customHeight="1" x14ac:dyDescent="0.25">
      <c r="A667" s="13"/>
      <c r="B667" s="21"/>
      <c r="C667" s="11"/>
      <c r="D667" s="11"/>
      <c r="E667" s="10"/>
      <c r="F667" s="10"/>
      <c r="G667" s="10"/>
      <c r="H667" s="10"/>
      <c r="I667" s="10"/>
      <c r="J667" s="10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9"/>
      <c r="AE667" s="8"/>
      <c r="AF667" s="6"/>
      <c r="AG667" s="6"/>
      <c r="AH667" s="6"/>
      <c r="AI667" s="9"/>
      <c r="AJ667" s="8"/>
      <c r="AK667" s="6"/>
    </row>
    <row r="668" spans="1:37" s="7" customFormat="1" ht="39" customHeight="1" x14ac:dyDescent="0.25">
      <c r="A668" s="20"/>
      <c r="B668" s="19"/>
      <c r="C668" s="25"/>
      <c r="D668" s="25"/>
      <c r="E668" s="15"/>
      <c r="F668" s="24"/>
      <c r="G668" s="24"/>
      <c r="H668" s="24"/>
      <c r="I668" s="24"/>
      <c r="J668" s="24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7"/>
      <c r="AE668" s="16"/>
      <c r="AF668" s="23"/>
      <c r="AG668" s="15"/>
      <c r="AH668" s="23"/>
      <c r="AI668" s="17"/>
      <c r="AJ668" s="16"/>
      <c r="AK668" s="15"/>
    </row>
    <row r="669" spans="1:37" s="7" customFormat="1" ht="39" customHeight="1" x14ac:dyDescent="0.25">
      <c r="A669" s="13"/>
      <c r="B669" s="21"/>
      <c r="C669" s="11"/>
      <c r="D669" s="11"/>
      <c r="E669" s="10"/>
      <c r="F669" s="10"/>
      <c r="G669" s="10"/>
      <c r="H669" s="10"/>
      <c r="I669" s="10"/>
      <c r="J669" s="10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9"/>
      <c r="AE669" s="8"/>
      <c r="AF669" s="6"/>
      <c r="AG669" s="6"/>
      <c r="AH669" s="6"/>
      <c r="AI669" s="9"/>
      <c r="AJ669" s="8"/>
      <c r="AK669" s="6"/>
    </row>
    <row r="670" spans="1:37" s="7" customFormat="1" ht="39" customHeight="1" x14ac:dyDescent="0.25">
      <c r="A670" s="13"/>
      <c r="B670" s="21"/>
      <c r="C670" s="11"/>
      <c r="D670" s="11"/>
      <c r="E670" s="6"/>
      <c r="F670" s="10"/>
      <c r="G670" s="10"/>
      <c r="H670" s="10"/>
      <c r="I670" s="10"/>
      <c r="J670" s="10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9"/>
      <c r="AE670" s="8"/>
      <c r="AF670" s="14"/>
      <c r="AG670" s="6"/>
      <c r="AH670" s="14"/>
      <c r="AI670" s="9"/>
      <c r="AJ670" s="8"/>
      <c r="AK670" s="6"/>
    </row>
    <row r="671" spans="1:37" s="7" customFormat="1" ht="39" customHeight="1" x14ac:dyDescent="0.25">
      <c r="A671" s="13"/>
      <c r="B671" s="21"/>
      <c r="C671" s="11"/>
      <c r="D671" s="11"/>
      <c r="E671" s="6"/>
      <c r="F671" s="10"/>
      <c r="G671" s="10"/>
      <c r="H671" s="10"/>
      <c r="I671" s="10"/>
      <c r="J671" s="10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9"/>
      <c r="AE671" s="8"/>
      <c r="AF671" s="6"/>
      <c r="AG671" s="6"/>
      <c r="AH671" s="6"/>
      <c r="AI671" s="9"/>
      <c r="AJ671" s="8"/>
      <c r="AK671" s="6"/>
    </row>
    <row r="672" spans="1:37" s="7" customFormat="1" ht="39" customHeight="1" x14ac:dyDescent="0.25">
      <c r="A672" s="13"/>
      <c r="B672" s="12"/>
      <c r="C672" s="11"/>
      <c r="D672" s="21"/>
      <c r="E672" s="10"/>
      <c r="F672" s="10"/>
      <c r="G672" s="10"/>
      <c r="H672" s="10"/>
      <c r="I672" s="10"/>
      <c r="J672" s="10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9"/>
      <c r="AE672" s="8"/>
      <c r="AF672" s="14"/>
      <c r="AG672" s="6"/>
      <c r="AH672" s="14"/>
      <c r="AI672" s="9"/>
      <c r="AJ672" s="8"/>
      <c r="AK672" s="6"/>
    </row>
    <row r="673" spans="1:37" s="7" customFormat="1" ht="39" customHeight="1" x14ac:dyDescent="0.25">
      <c r="A673" s="13"/>
      <c r="B673" s="21"/>
      <c r="C673" s="11"/>
      <c r="D673" s="11"/>
      <c r="E673" s="10"/>
      <c r="F673" s="10"/>
      <c r="G673" s="10"/>
      <c r="H673" s="10"/>
      <c r="I673" s="10"/>
      <c r="J673" s="10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9"/>
      <c r="AE673" s="8"/>
      <c r="AF673" s="6"/>
      <c r="AG673" s="6"/>
      <c r="AH673" s="6"/>
      <c r="AI673" s="9"/>
      <c r="AJ673" s="8"/>
      <c r="AK673" s="6"/>
    </row>
    <row r="674" spans="1:37" s="7" customFormat="1" ht="39" customHeight="1" x14ac:dyDescent="0.25">
      <c r="A674" s="13"/>
      <c r="B674" s="12"/>
      <c r="C674" s="11"/>
      <c r="D674" s="11"/>
      <c r="E674" s="10"/>
      <c r="F674" s="10"/>
      <c r="G674" s="10"/>
      <c r="H674" s="10"/>
      <c r="I674" s="10"/>
      <c r="J674" s="10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9"/>
      <c r="AE674" s="8"/>
      <c r="AF674" s="6"/>
      <c r="AG674" s="6"/>
      <c r="AH674" s="6"/>
      <c r="AI674" s="9"/>
      <c r="AJ674" s="8"/>
      <c r="AK674" s="6"/>
    </row>
    <row r="675" spans="1:37" s="7" customFormat="1" ht="39" customHeight="1" x14ac:dyDescent="0.25">
      <c r="A675" s="13"/>
      <c r="B675" s="12"/>
      <c r="C675" s="11"/>
      <c r="D675" s="11"/>
      <c r="E675" s="10"/>
      <c r="F675" s="10"/>
      <c r="G675" s="10"/>
      <c r="H675" s="10"/>
      <c r="I675" s="10"/>
      <c r="J675" s="10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9"/>
      <c r="AE675" s="8"/>
      <c r="AF675" s="14"/>
      <c r="AG675" s="6"/>
      <c r="AH675" s="14"/>
      <c r="AI675" s="9"/>
      <c r="AJ675" s="8"/>
      <c r="AK675" s="6"/>
    </row>
    <row r="676" spans="1:37" s="7" customFormat="1" ht="39" customHeight="1" x14ac:dyDescent="0.25">
      <c r="A676" s="13"/>
      <c r="B676" s="21"/>
      <c r="C676" s="11"/>
      <c r="D676" s="11"/>
      <c r="E676" s="10"/>
      <c r="F676" s="10"/>
      <c r="G676" s="10"/>
      <c r="H676" s="10"/>
      <c r="I676" s="10"/>
      <c r="J676" s="10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9"/>
      <c r="AE676" s="8"/>
      <c r="AF676" s="6"/>
      <c r="AG676" s="6"/>
      <c r="AH676" s="6"/>
      <c r="AI676" s="9"/>
      <c r="AJ676" s="8"/>
      <c r="AK676" s="6"/>
    </row>
    <row r="677" spans="1:37" s="7" customFormat="1" ht="39" customHeight="1" x14ac:dyDescent="0.25">
      <c r="A677" s="13"/>
      <c r="B677" s="12"/>
      <c r="C677" s="11"/>
      <c r="D677" s="11"/>
      <c r="E677" s="10"/>
      <c r="F677" s="10"/>
      <c r="G677" s="10"/>
      <c r="H677" s="10"/>
      <c r="I677" s="10"/>
      <c r="J677" s="10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9"/>
      <c r="AE677" s="8"/>
      <c r="AF677" s="14"/>
      <c r="AG677" s="6"/>
      <c r="AH677" s="14"/>
      <c r="AI677" s="9"/>
      <c r="AJ677" s="8"/>
      <c r="AK677" s="6"/>
    </row>
    <row r="678" spans="1:37" s="7" customFormat="1" ht="39" customHeight="1" x14ac:dyDescent="0.25">
      <c r="A678" s="13"/>
      <c r="B678" s="12"/>
      <c r="C678" s="11"/>
      <c r="D678" s="11"/>
      <c r="E678" s="6"/>
      <c r="F678" s="10"/>
      <c r="G678" s="10"/>
      <c r="H678" s="10"/>
      <c r="I678" s="10"/>
      <c r="J678" s="10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9"/>
      <c r="AE678" s="8"/>
      <c r="AF678" s="6"/>
      <c r="AG678" s="6"/>
      <c r="AH678" s="6"/>
      <c r="AI678" s="9"/>
      <c r="AJ678" s="8"/>
      <c r="AK678" s="6"/>
    </row>
    <row r="679" spans="1:37" s="7" customFormat="1" ht="39" customHeight="1" x14ac:dyDescent="0.25">
      <c r="A679" s="13"/>
      <c r="B679" s="21"/>
      <c r="C679" s="11"/>
      <c r="D679" s="11"/>
      <c r="E679" s="10"/>
      <c r="F679" s="10"/>
      <c r="G679" s="10"/>
      <c r="H679" s="10"/>
      <c r="I679" s="10"/>
      <c r="J679" s="10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9"/>
      <c r="AE679" s="8"/>
      <c r="AF679" s="6"/>
      <c r="AG679" s="6"/>
      <c r="AH679" s="6"/>
      <c r="AI679" s="9"/>
      <c r="AJ679" s="8"/>
      <c r="AK679" s="6"/>
    </row>
    <row r="680" spans="1:37" s="7" customFormat="1" ht="39" customHeight="1" x14ac:dyDescent="0.25">
      <c r="A680" s="13"/>
      <c r="B680" s="21"/>
      <c r="C680" s="11"/>
      <c r="D680" s="11"/>
      <c r="E680" s="10"/>
      <c r="F680" s="10"/>
      <c r="G680" s="10"/>
      <c r="H680" s="10"/>
      <c r="I680" s="10"/>
      <c r="J680" s="10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9"/>
      <c r="AE680" s="8"/>
      <c r="AF680" s="6"/>
      <c r="AG680" s="6"/>
      <c r="AH680" s="6"/>
      <c r="AI680" s="9"/>
      <c r="AJ680" s="8"/>
      <c r="AK680" s="6"/>
    </row>
    <row r="681" spans="1:37" s="7" customFormat="1" ht="39" customHeight="1" x14ac:dyDescent="0.25">
      <c r="A681" s="13"/>
      <c r="B681" s="12"/>
      <c r="C681" s="11"/>
      <c r="D681" s="11"/>
      <c r="E681" s="10"/>
      <c r="F681" s="10"/>
      <c r="G681" s="10"/>
      <c r="H681" s="10"/>
      <c r="I681" s="10"/>
      <c r="J681" s="10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9"/>
      <c r="AE681" s="8"/>
      <c r="AF681" s="14"/>
      <c r="AG681" s="6"/>
      <c r="AH681" s="14"/>
      <c r="AI681" s="9"/>
      <c r="AJ681" s="8"/>
      <c r="AK681" s="6"/>
    </row>
    <row r="682" spans="1:37" s="7" customFormat="1" ht="39" customHeight="1" x14ac:dyDescent="0.25">
      <c r="A682" s="13"/>
      <c r="B682" s="21"/>
      <c r="C682" s="11"/>
      <c r="D682" s="11"/>
      <c r="E682" s="10"/>
      <c r="F682" s="10"/>
      <c r="G682" s="10"/>
      <c r="H682" s="10"/>
      <c r="I682" s="10"/>
      <c r="J682" s="10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9"/>
      <c r="AE682" s="8"/>
      <c r="AF682" s="14"/>
      <c r="AG682" s="6"/>
      <c r="AH682" s="14"/>
      <c r="AI682" s="9"/>
      <c r="AJ682" s="8"/>
      <c r="AK682" s="6"/>
    </row>
    <row r="683" spans="1:37" s="7" customFormat="1" ht="39" customHeight="1" x14ac:dyDescent="0.25">
      <c r="A683" s="13"/>
      <c r="B683" s="21"/>
      <c r="C683" s="11"/>
      <c r="D683" s="11"/>
      <c r="E683" s="10"/>
      <c r="F683" s="10"/>
      <c r="G683" s="10"/>
      <c r="H683" s="10"/>
      <c r="I683" s="10"/>
      <c r="J683" s="10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9"/>
      <c r="AE683" s="8"/>
      <c r="AF683" s="6"/>
      <c r="AG683" s="6"/>
      <c r="AH683" s="6"/>
      <c r="AI683" s="9"/>
      <c r="AJ683" s="8"/>
      <c r="AK683" s="6"/>
    </row>
    <row r="684" spans="1:37" s="7" customFormat="1" ht="39" customHeight="1" x14ac:dyDescent="0.25">
      <c r="A684" s="13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6"/>
      <c r="M684" s="21"/>
      <c r="N684" s="21"/>
      <c r="O684" s="21"/>
      <c r="P684" s="21"/>
      <c r="Q684" s="21"/>
      <c r="R684" s="6"/>
      <c r="S684" s="6"/>
      <c r="T684" s="6"/>
      <c r="U684" s="21"/>
      <c r="V684" s="21"/>
      <c r="W684" s="6"/>
      <c r="X684" s="6"/>
      <c r="Y684" s="6"/>
      <c r="Z684" s="6"/>
      <c r="AA684" s="6"/>
      <c r="AB684" s="6"/>
      <c r="AC684" s="22"/>
      <c r="AD684" s="9"/>
      <c r="AE684" s="8"/>
      <c r="AF684" s="6"/>
      <c r="AG684" s="6"/>
      <c r="AH684" s="6"/>
      <c r="AI684" s="9"/>
      <c r="AJ684" s="8"/>
      <c r="AK684" s="6"/>
    </row>
    <row r="685" spans="1:37" s="7" customFormat="1" ht="39" customHeight="1" x14ac:dyDescent="0.25">
      <c r="A685" s="13"/>
      <c r="B685" s="21"/>
      <c r="C685" s="11"/>
      <c r="D685" s="11"/>
      <c r="E685" s="10"/>
      <c r="F685" s="10"/>
      <c r="G685" s="10"/>
      <c r="H685" s="10"/>
      <c r="I685" s="10"/>
      <c r="J685" s="10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9"/>
      <c r="AE685" s="8"/>
      <c r="AF685" s="6"/>
      <c r="AG685" s="6"/>
      <c r="AH685" s="6"/>
      <c r="AI685" s="9"/>
      <c r="AJ685" s="8"/>
      <c r="AK685" s="6"/>
    </row>
    <row r="686" spans="1:37" s="7" customFormat="1" ht="39" customHeight="1" x14ac:dyDescent="0.25">
      <c r="A686" s="13"/>
      <c r="B686" s="21"/>
      <c r="C686" s="11"/>
      <c r="D686" s="11"/>
      <c r="E686" s="10"/>
      <c r="F686" s="10"/>
      <c r="G686" s="10"/>
      <c r="H686" s="10"/>
      <c r="I686" s="10"/>
      <c r="J686" s="10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9"/>
      <c r="AE686" s="8"/>
      <c r="AF686" s="14"/>
      <c r="AG686" s="6"/>
      <c r="AH686" s="14"/>
      <c r="AI686" s="9"/>
      <c r="AJ686" s="8"/>
      <c r="AK686" s="6"/>
    </row>
    <row r="687" spans="1:37" s="7" customFormat="1" ht="39" customHeight="1" x14ac:dyDescent="0.25">
      <c r="A687" s="13"/>
      <c r="B687" s="21"/>
      <c r="C687" s="11"/>
      <c r="D687" s="11"/>
      <c r="E687" s="10"/>
      <c r="F687" s="10"/>
      <c r="G687" s="10"/>
      <c r="H687" s="10"/>
      <c r="I687" s="10"/>
      <c r="J687" s="10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9"/>
      <c r="AE687" s="8"/>
      <c r="AF687" s="6"/>
      <c r="AG687" s="6"/>
      <c r="AH687" s="6"/>
      <c r="AI687" s="9"/>
      <c r="AJ687" s="8"/>
      <c r="AK687" s="6"/>
    </row>
    <row r="688" spans="1:37" s="7" customFormat="1" ht="39" customHeight="1" x14ac:dyDescent="0.25">
      <c r="A688" s="13"/>
      <c r="B688" s="21"/>
      <c r="C688" s="11"/>
      <c r="D688" s="11"/>
      <c r="E688" s="10"/>
      <c r="F688" s="10"/>
      <c r="G688" s="10"/>
      <c r="H688" s="10"/>
      <c r="I688" s="10"/>
      <c r="J688" s="10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9"/>
      <c r="AE688" s="8"/>
      <c r="AF688" s="6"/>
      <c r="AG688" s="6"/>
      <c r="AH688" s="6"/>
      <c r="AI688" s="9"/>
      <c r="AJ688" s="8"/>
      <c r="AK688" s="6"/>
    </row>
    <row r="689" spans="1:37" s="7" customFormat="1" ht="39" customHeight="1" x14ac:dyDescent="0.25">
      <c r="A689" s="13"/>
      <c r="B689" s="21"/>
      <c r="C689" s="11"/>
      <c r="D689" s="11"/>
      <c r="E689" s="10"/>
      <c r="F689" s="10"/>
      <c r="G689" s="10"/>
      <c r="H689" s="10"/>
      <c r="I689" s="10"/>
      <c r="J689" s="10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9"/>
      <c r="AE689" s="8"/>
      <c r="AF689" s="6"/>
      <c r="AG689" s="6"/>
      <c r="AH689" s="14"/>
      <c r="AI689" s="9"/>
      <c r="AJ689" s="8"/>
      <c r="AK689" s="6"/>
    </row>
    <row r="690" spans="1:37" s="7" customFormat="1" ht="39" customHeight="1" x14ac:dyDescent="0.25">
      <c r="A690" s="13"/>
      <c r="B690" s="21"/>
      <c r="C690" s="11"/>
      <c r="D690" s="11"/>
      <c r="E690" s="10"/>
      <c r="F690" s="10"/>
      <c r="G690" s="10"/>
      <c r="H690" s="10"/>
      <c r="I690" s="10"/>
      <c r="J690" s="10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9"/>
      <c r="AE690" s="8"/>
      <c r="AF690" s="6"/>
      <c r="AG690" s="6"/>
      <c r="AH690" s="14"/>
      <c r="AI690" s="9"/>
      <c r="AJ690" s="8"/>
      <c r="AK690" s="6"/>
    </row>
    <row r="691" spans="1:37" s="7" customFormat="1" ht="39" customHeight="1" x14ac:dyDescent="0.25">
      <c r="A691" s="13"/>
      <c r="B691" s="27"/>
      <c r="C691" s="27"/>
      <c r="D691" s="11"/>
      <c r="E691" s="10"/>
      <c r="F691" s="10"/>
      <c r="G691" s="10"/>
      <c r="H691" s="10"/>
      <c r="I691" s="10"/>
      <c r="J691" s="10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9"/>
      <c r="AE691" s="8"/>
      <c r="AF691" s="14"/>
      <c r="AG691" s="6"/>
      <c r="AH691" s="14"/>
      <c r="AI691" s="9"/>
      <c r="AJ691" s="8"/>
      <c r="AK691" s="6"/>
    </row>
    <row r="692" spans="1:37" s="7" customFormat="1" ht="39" customHeight="1" x14ac:dyDescent="0.25">
      <c r="A692" s="13"/>
      <c r="B692" s="21"/>
      <c r="C692" s="11"/>
      <c r="D692" s="11"/>
      <c r="E692" s="10"/>
      <c r="F692" s="10"/>
      <c r="G692" s="10"/>
      <c r="H692" s="10"/>
      <c r="I692" s="10"/>
      <c r="J692" s="10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9"/>
      <c r="AE692" s="8"/>
      <c r="AF692" s="14"/>
      <c r="AG692" s="6"/>
      <c r="AH692" s="14"/>
      <c r="AI692" s="9"/>
      <c r="AJ692" s="8"/>
      <c r="AK692" s="6"/>
    </row>
    <row r="693" spans="1:37" s="7" customFormat="1" ht="39" customHeight="1" x14ac:dyDescent="0.25">
      <c r="A693" s="13"/>
      <c r="B693" s="21"/>
      <c r="C693" s="11"/>
      <c r="D693" s="11"/>
      <c r="E693" s="10"/>
      <c r="F693" s="10"/>
      <c r="G693" s="10"/>
      <c r="H693" s="10"/>
      <c r="I693" s="10"/>
      <c r="J693" s="10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9"/>
      <c r="AE693" s="8"/>
      <c r="AF693" s="6"/>
      <c r="AG693" s="6"/>
      <c r="AH693" s="6"/>
      <c r="AI693" s="9"/>
      <c r="AJ693" s="8"/>
      <c r="AK693" s="6"/>
    </row>
    <row r="694" spans="1:37" s="7" customFormat="1" ht="39" customHeight="1" x14ac:dyDescent="0.25">
      <c r="A694" s="13"/>
      <c r="B694" s="21"/>
      <c r="C694" s="11"/>
      <c r="D694" s="11"/>
      <c r="E694" s="6"/>
      <c r="F694" s="10"/>
      <c r="G694" s="10"/>
      <c r="H694" s="10"/>
      <c r="I694" s="10"/>
      <c r="J694" s="10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9"/>
      <c r="AE694" s="8"/>
      <c r="AF694" s="14"/>
      <c r="AG694" s="6"/>
      <c r="AH694" s="14"/>
      <c r="AI694" s="9"/>
      <c r="AJ694" s="8"/>
      <c r="AK694" s="6"/>
    </row>
    <row r="695" spans="1:37" s="7" customFormat="1" ht="39" customHeight="1" x14ac:dyDescent="0.25">
      <c r="A695" s="20"/>
      <c r="B695" s="19"/>
      <c r="C695" s="25"/>
      <c r="D695" s="25"/>
      <c r="E695" s="24"/>
      <c r="F695" s="24"/>
      <c r="G695" s="24"/>
      <c r="H695" s="24"/>
      <c r="I695" s="24"/>
      <c r="J695" s="24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7"/>
      <c r="AE695" s="16"/>
      <c r="AF695" s="15"/>
      <c r="AG695" s="15"/>
      <c r="AH695" s="15"/>
      <c r="AI695" s="17"/>
      <c r="AJ695" s="16"/>
      <c r="AK695" s="15"/>
    </row>
    <row r="696" spans="1:37" s="7" customFormat="1" ht="39" customHeight="1" x14ac:dyDescent="0.25">
      <c r="A696" s="13"/>
      <c r="B696" s="21"/>
      <c r="C696" s="11"/>
      <c r="D696" s="11"/>
      <c r="E696" s="6"/>
      <c r="F696" s="10"/>
      <c r="G696" s="10"/>
      <c r="H696" s="10"/>
      <c r="I696" s="10"/>
      <c r="J696" s="10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9"/>
      <c r="AE696" s="8"/>
      <c r="AF696" s="14"/>
      <c r="AG696" s="6"/>
      <c r="AH696" s="14"/>
      <c r="AI696" s="9"/>
      <c r="AJ696" s="8"/>
      <c r="AK696" s="6"/>
    </row>
    <row r="697" spans="1:37" s="7" customFormat="1" ht="39" customHeight="1" x14ac:dyDescent="0.25">
      <c r="A697" s="13"/>
      <c r="B697" s="21"/>
      <c r="C697" s="11"/>
      <c r="D697" s="11"/>
      <c r="E697" s="6"/>
      <c r="F697" s="10"/>
      <c r="G697" s="10"/>
      <c r="H697" s="10"/>
      <c r="I697" s="10"/>
      <c r="J697" s="10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9"/>
      <c r="AE697" s="8"/>
      <c r="AF697" s="6"/>
      <c r="AG697" s="6"/>
      <c r="AH697" s="6"/>
      <c r="AI697" s="9"/>
      <c r="AJ697" s="8"/>
      <c r="AK697" s="6"/>
    </row>
    <row r="698" spans="1:37" s="7" customFormat="1" ht="39" customHeight="1" x14ac:dyDescent="0.25">
      <c r="A698" s="13"/>
      <c r="B698" s="21"/>
      <c r="C698" s="11"/>
      <c r="D698" s="11"/>
      <c r="E698" s="10"/>
      <c r="F698" s="10"/>
      <c r="G698" s="10"/>
      <c r="H698" s="10"/>
      <c r="I698" s="10"/>
      <c r="J698" s="10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9"/>
      <c r="AE698" s="8"/>
      <c r="AF698" s="14"/>
      <c r="AG698" s="6"/>
      <c r="AH698" s="14"/>
      <c r="AI698" s="9"/>
      <c r="AJ698" s="8"/>
      <c r="AK698" s="6"/>
    </row>
    <row r="699" spans="1:37" s="7" customFormat="1" ht="39" customHeight="1" x14ac:dyDescent="0.25">
      <c r="A699" s="13"/>
      <c r="B699" s="12"/>
      <c r="C699" s="11"/>
      <c r="D699" s="21"/>
      <c r="E699" s="10"/>
      <c r="F699" s="10"/>
      <c r="G699" s="10"/>
      <c r="H699" s="10"/>
      <c r="I699" s="10"/>
      <c r="J699" s="10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9"/>
      <c r="AE699" s="8"/>
      <c r="AF699" s="6"/>
      <c r="AG699" s="6"/>
      <c r="AH699" s="6"/>
      <c r="AI699" s="9"/>
      <c r="AJ699" s="8"/>
      <c r="AK699" s="6"/>
    </row>
    <row r="700" spans="1:37" s="7" customFormat="1" ht="39" customHeight="1" x14ac:dyDescent="0.25">
      <c r="A700" s="13"/>
      <c r="B700" s="21"/>
      <c r="C700" s="11"/>
      <c r="D700" s="11"/>
      <c r="E700" s="10"/>
      <c r="F700" s="10"/>
      <c r="G700" s="10"/>
      <c r="H700" s="10"/>
      <c r="I700" s="10"/>
      <c r="J700" s="10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9"/>
      <c r="AE700" s="8"/>
      <c r="AF700" s="6"/>
      <c r="AG700" s="6"/>
      <c r="AH700" s="6"/>
      <c r="AI700" s="9"/>
      <c r="AJ700" s="8"/>
      <c r="AK700" s="6"/>
    </row>
    <row r="701" spans="1:37" s="7" customFormat="1" ht="39" customHeight="1" x14ac:dyDescent="0.25">
      <c r="A701" s="13"/>
      <c r="B701" s="12"/>
      <c r="C701" s="11"/>
      <c r="D701" s="11"/>
      <c r="E701" s="10"/>
      <c r="F701" s="10"/>
      <c r="G701" s="10"/>
      <c r="H701" s="10"/>
      <c r="I701" s="10"/>
      <c r="J701" s="10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9"/>
      <c r="AE701" s="8"/>
      <c r="AF701" s="14"/>
      <c r="AG701" s="6"/>
      <c r="AH701" s="14"/>
      <c r="AI701" s="9"/>
      <c r="AJ701" s="8"/>
      <c r="AK701" s="6"/>
    </row>
    <row r="702" spans="1:37" s="7" customFormat="1" ht="39" customHeight="1" x14ac:dyDescent="0.25">
      <c r="A702" s="13"/>
      <c r="B702" s="12"/>
      <c r="C702" s="11"/>
      <c r="D702" s="11"/>
      <c r="E702" s="10"/>
      <c r="F702" s="10"/>
      <c r="G702" s="10"/>
      <c r="H702" s="10"/>
      <c r="I702" s="10"/>
      <c r="J702" s="10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9"/>
      <c r="AE702" s="8"/>
      <c r="AF702" s="6"/>
      <c r="AG702" s="6"/>
      <c r="AH702" s="6"/>
      <c r="AI702" s="9"/>
      <c r="AJ702" s="8"/>
      <c r="AK702" s="6"/>
    </row>
    <row r="703" spans="1:37" s="7" customFormat="1" ht="39" customHeight="1" x14ac:dyDescent="0.25">
      <c r="A703" s="13"/>
      <c r="B703" s="21"/>
      <c r="C703" s="11"/>
      <c r="D703" s="11"/>
      <c r="E703" s="10"/>
      <c r="F703" s="10"/>
      <c r="G703" s="10"/>
      <c r="H703" s="10"/>
      <c r="I703" s="10"/>
      <c r="J703" s="10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9"/>
      <c r="AE703" s="8"/>
      <c r="AF703" s="14"/>
      <c r="AG703" s="6"/>
      <c r="AH703" s="14"/>
      <c r="AI703" s="9"/>
      <c r="AJ703" s="8"/>
      <c r="AK703" s="6"/>
    </row>
    <row r="704" spans="1:37" s="7" customFormat="1" ht="39" customHeight="1" x14ac:dyDescent="0.25">
      <c r="A704" s="13"/>
      <c r="B704" s="12"/>
      <c r="C704" s="11"/>
      <c r="D704" s="11"/>
      <c r="E704" s="6"/>
      <c r="F704" s="10"/>
      <c r="G704" s="10"/>
      <c r="H704" s="10"/>
      <c r="I704" s="10"/>
      <c r="J704" s="10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9"/>
      <c r="AE704" s="8"/>
      <c r="AF704" s="6"/>
      <c r="AG704" s="6"/>
      <c r="AH704" s="6"/>
      <c r="AI704" s="9"/>
      <c r="AJ704" s="8"/>
      <c r="AK704" s="6"/>
    </row>
    <row r="705" spans="1:37" s="7" customFormat="1" ht="39" customHeight="1" x14ac:dyDescent="0.25">
      <c r="A705" s="13"/>
      <c r="B705" s="12"/>
      <c r="C705" s="11"/>
      <c r="D705" s="11"/>
      <c r="E705" s="10"/>
      <c r="F705" s="10"/>
      <c r="G705" s="10"/>
      <c r="H705" s="10"/>
      <c r="I705" s="10"/>
      <c r="J705" s="10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9"/>
      <c r="AE705" s="8"/>
      <c r="AF705" s="6"/>
      <c r="AG705" s="6"/>
      <c r="AH705" s="6"/>
      <c r="AI705" s="9"/>
      <c r="AJ705" s="8"/>
      <c r="AK705" s="6"/>
    </row>
    <row r="706" spans="1:37" s="7" customFormat="1" ht="39" customHeight="1" x14ac:dyDescent="0.25">
      <c r="A706" s="13"/>
      <c r="B706" s="21"/>
      <c r="C706" s="11"/>
      <c r="D706" s="11"/>
      <c r="E706" s="10"/>
      <c r="F706" s="10"/>
      <c r="G706" s="10"/>
      <c r="H706" s="10"/>
      <c r="I706" s="10"/>
      <c r="J706" s="10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9"/>
      <c r="AE706" s="8"/>
      <c r="AF706" s="6"/>
      <c r="AG706" s="6"/>
      <c r="AH706" s="6"/>
      <c r="AI706" s="9"/>
      <c r="AJ706" s="8"/>
      <c r="AK706" s="6"/>
    </row>
    <row r="707" spans="1:37" s="7" customFormat="1" ht="39" customHeight="1" x14ac:dyDescent="0.25">
      <c r="A707" s="13"/>
      <c r="B707" s="21"/>
      <c r="C707" s="11"/>
      <c r="D707" s="11"/>
      <c r="E707" s="10"/>
      <c r="F707" s="10"/>
      <c r="G707" s="10"/>
      <c r="H707" s="10"/>
      <c r="I707" s="10"/>
      <c r="J707" s="10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9"/>
      <c r="AE707" s="8"/>
      <c r="AF707" s="14"/>
      <c r="AG707" s="6"/>
      <c r="AH707" s="14"/>
      <c r="AI707" s="9"/>
      <c r="AJ707" s="8"/>
      <c r="AK707" s="6"/>
    </row>
    <row r="708" spans="1:37" s="7" customFormat="1" ht="39" customHeight="1" x14ac:dyDescent="0.25">
      <c r="A708" s="13"/>
      <c r="B708" s="12"/>
      <c r="C708" s="11"/>
      <c r="D708" s="11"/>
      <c r="E708" s="10"/>
      <c r="F708" s="10"/>
      <c r="G708" s="10"/>
      <c r="H708" s="10"/>
      <c r="I708" s="10"/>
      <c r="J708" s="10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9"/>
      <c r="AE708" s="8"/>
      <c r="AF708" s="14"/>
      <c r="AG708" s="6"/>
      <c r="AH708" s="14"/>
      <c r="AI708" s="9"/>
      <c r="AJ708" s="8"/>
      <c r="AK708" s="6"/>
    </row>
    <row r="709" spans="1:37" s="7" customFormat="1" ht="39" customHeight="1" x14ac:dyDescent="0.25">
      <c r="A709" s="13"/>
      <c r="B709" s="21"/>
      <c r="C709" s="11"/>
      <c r="D709" s="11"/>
      <c r="E709" s="10"/>
      <c r="F709" s="10"/>
      <c r="G709" s="10"/>
      <c r="H709" s="10"/>
      <c r="I709" s="10"/>
      <c r="J709" s="10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9"/>
      <c r="AE709" s="8"/>
      <c r="AF709" s="6"/>
      <c r="AG709" s="6"/>
      <c r="AH709" s="6"/>
      <c r="AI709" s="9"/>
      <c r="AJ709" s="8"/>
      <c r="AK709" s="6"/>
    </row>
    <row r="710" spans="1:37" s="7" customFormat="1" ht="39" customHeight="1" x14ac:dyDescent="0.25">
      <c r="A710" s="13"/>
      <c r="B710" s="21"/>
      <c r="C710" s="11"/>
      <c r="D710" s="11"/>
      <c r="E710" s="21"/>
      <c r="F710" s="21"/>
      <c r="G710" s="21"/>
      <c r="H710" s="21"/>
      <c r="I710" s="21"/>
      <c r="J710" s="21"/>
      <c r="K710" s="21"/>
      <c r="L710" s="6"/>
      <c r="M710" s="21"/>
      <c r="N710" s="21"/>
      <c r="O710" s="21"/>
      <c r="P710" s="21"/>
      <c r="Q710" s="21"/>
      <c r="R710" s="6"/>
      <c r="S710" s="6"/>
      <c r="T710" s="6"/>
      <c r="U710" s="21"/>
      <c r="V710" s="21"/>
      <c r="W710" s="6"/>
      <c r="X710" s="6"/>
      <c r="Y710" s="6"/>
      <c r="Z710" s="6"/>
      <c r="AA710" s="6"/>
      <c r="AB710" s="6"/>
      <c r="AC710" s="22"/>
      <c r="AD710" s="9"/>
      <c r="AE710" s="8"/>
      <c r="AF710" s="6"/>
      <c r="AG710" s="6"/>
      <c r="AH710" s="6"/>
      <c r="AI710" s="9"/>
      <c r="AJ710" s="8"/>
      <c r="AK710" s="6"/>
    </row>
    <row r="711" spans="1:37" s="7" customFormat="1" ht="39" customHeight="1" x14ac:dyDescent="0.25">
      <c r="A711" s="13"/>
      <c r="B711" s="21"/>
      <c r="C711" s="21"/>
      <c r="D711" s="21"/>
      <c r="E711" s="10"/>
      <c r="F711" s="10"/>
      <c r="G711" s="10"/>
      <c r="H711" s="10"/>
      <c r="I711" s="10"/>
      <c r="J711" s="10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9"/>
      <c r="AE711" s="8"/>
      <c r="AF711" s="6"/>
      <c r="AG711" s="6"/>
      <c r="AH711" s="6"/>
      <c r="AI711" s="9"/>
      <c r="AJ711" s="8"/>
      <c r="AK711" s="6"/>
    </row>
    <row r="712" spans="1:37" s="7" customFormat="1" ht="39" customHeight="1" x14ac:dyDescent="0.25">
      <c r="A712" s="13"/>
      <c r="B712" s="21"/>
      <c r="C712" s="11"/>
      <c r="D712" s="11"/>
      <c r="E712" s="10"/>
      <c r="F712" s="10"/>
      <c r="G712" s="10"/>
      <c r="H712" s="10"/>
      <c r="I712" s="10"/>
      <c r="J712" s="10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9"/>
      <c r="AE712" s="8"/>
      <c r="AF712" s="14"/>
      <c r="AG712" s="6"/>
      <c r="AH712" s="14"/>
      <c r="AI712" s="9"/>
      <c r="AJ712" s="8"/>
      <c r="AK712" s="6"/>
    </row>
    <row r="713" spans="1:37" s="7" customFormat="1" ht="39" customHeight="1" x14ac:dyDescent="0.25">
      <c r="A713" s="13"/>
      <c r="B713" s="21"/>
      <c r="C713" s="11"/>
      <c r="D713" s="11"/>
      <c r="E713" s="10"/>
      <c r="F713" s="10"/>
      <c r="G713" s="10"/>
      <c r="H713" s="10"/>
      <c r="I713" s="10"/>
      <c r="J713" s="10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9"/>
      <c r="AE713" s="8"/>
      <c r="AF713" s="6"/>
      <c r="AG713" s="6"/>
      <c r="AH713" s="6"/>
      <c r="AI713" s="9"/>
      <c r="AJ713" s="8"/>
      <c r="AK713" s="6"/>
    </row>
    <row r="714" spans="1:37" s="7" customFormat="1" ht="39" customHeight="1" x14ac:dyDescent="0.25">
      <c r="A714" s="13"/>
      <c r="B714" s="21"/>
      <c r="C714" s="11"/>
      <c r="D714" s="11"/>
      <c r="E714" s="10"/>
      <c r="F714" s="10"/>
      <c r="G714" s="10"/>
      <c r="H714" s="10"/>
      <c r="I714" s="10"/>
      <c r="J714" s="10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9"/>
      <c r="AE714" s="8"/>
      <c r="AF714" s="6"/>
      <c r="AG714" s="6"/>
      <c r="AH714" s="6"/>
      <c r="AI714" s="9"/>
      <c r="AJ714" s="8"/>
      <c r="AK714" s="6"/>
    </row>
    <row r="715" spans="1:37" s="7" customFormat="1" ht="39" customHeight="1" x14ac:dyDescent="0.25">
      <c r="A715" s="13"/>
      <c r="B715" s="21"/>
      <c r="C715" s="11"/>
      <c r="D715" s="11"/>
      <c r="E715" s="10"/>
      <c r="F715" s="10"/>
      <c r="G715" s="10"/>
      <c r="H715" s="10"/>
      <c r="I715" s="10"/>
      <c r="J715" s="10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9"/>
      <c r="AE715" s="8"/>
      <c r="AF715" s="6"/>
      <c r="AG715" s="6"/>
      <c r="AH715" s="14"/>
      <c r="AI715" s="9"/>
      <c r="AJ715" s="8"/>
      <c r="AK715" s="6"/>
    </row>
    <row r="716" spans="1:37" s="7" customFormat="1" ht="39" customHeight="1" x14ac:dyDescent="0.25">
      <c r="A716" s="13"/>
      <c r="B716" s="21"/>
      <c r="C716" s="11"/>
      <c r="D716" s="11"/>
      <c r="E716" s="10"/>
      <c r="F716" s="10"/>
      <c r="G716" s="10"/>
      <c r="H716" s="10"/>
      <c r="I716" s="10"/>
      <c r="J716" s="10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9"/>
      <c r="AE716" s="8"/>
      <c r="AF716" s="6"/>
      <c r="AG716" s="6"/>
      <c r="AH716" s="14"/>
      <c r="AI716" s="9"/>
      <c r="AJ716" s="8"/>
      <c r="AK716" s="6"/>
    </row>
    <row r="717" spans="1:37" s="7" customFormat="1" ht="39" customHeight="1" x14ac:dyDescent="0.25">
      <c r="A717" s="13"/>
      <c r="B717" s="21"/>
      <c r="C717" s="11"/>
      <c r="D717" s="11"/>
      <c r="E717" s="10"/>
      <c r="F717" s="10"/>
      <c r="G717" s="10"/>
      <c r="H717" s="10"/>
      <c r="I717" s="10"/>
      <c r="J717" s="10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9"/>
      <c r="AE717" s="8"/>
      <c r="AF717" s="14"/>
      <c r="AG717" s="6"/>
      <c r="AH717" s="14"/>
      <c r="AI717" s="9"/>
      <c r="AJ717" s="8"/>
      <c r="AK717" s="6"/>
    </row>
    <row r="718" spans="1:37" s="7" customFormat="1" ht="39" customHeight="1" x14ac:dyDescent="0.25">
      <c r="A718" s="13"/>
      <c r="B718" s="27"/>
      <c r="C718" s="27"/>
      <c r="D718" s="11"/>
      <c r="E718" s="10"/>
      <c r="F718" s="10"/>
      <c r="G718" s="10"/>
      <c r="H718" s="10"/>
      <c r="I718" s="10"/>
      <c r="J718" s="10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9"/>
      <c r="AE718" s="8"/>
      <c r="AF718" s="14"/>
      <c r="AG718" s="6"/>
      <c r="AH718" s="14"/>
      <c r="AI718" s="9"/>
      <c r="AJ718" s="8"/>
      <c r="AK718" s="6"/>
    </row>
    <row r="719" spans="1:37" s="7" customFormat="1" ht="39" customHeight="1" x14ac:dyDescent="0.25">
      <c r="A719" s="13"/>
      <c r="B719" s="21"/>
      <c r="C719" s="11"/>
      <c r="D719" s="11"/>
      <c r="E719" s="10"/>
      <c r="F719" s="10"/>
      <c r="G719" s="10"/>
      <c r="H719" s="10"/>
      <c r="I719" s="10"/>
      <c r="J719" s="10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9"/>
      <c r="AE719" s="8"/>
      <c r="AF719" s="6"/>
      <c r="AG719" s="6"/>
      <c r="AH719" s="6"/>
      <c r="AI719" s="9"/>
      <c r="AJ719" s="8"/>
      <c r="AK719" s="6"/>
    </row>
    <row r="720" spans="1:37" s="7" customFormat="1" ht="39" customHeight="1" x14ac:dyDescent="0.25">
      <c r="A720" s="13"/>
      <c r="B720" s="21"/>
      <c r="C720" s="11"/>
      <c r="D720" s="11"/>
      <c r="E720" s="6"/>
      <c r="F720" s="10"/>
      <c r="G720" s="10"/>
      <c r="H720" s="10"/>
      <c r="I720" s="10"/>
      <c r="J720" s="10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9"/>
      <c r="AE720" s="8"/>
      <c r="AF720" s="14"/>
      <c r="AG720" s="6"/>
      <c r="AH720" s="14"/>
      <c r="AI720" s="9"/>
      <c r="AJ720" s="8"/>
      <c r="AK720" s="6"/>
    </row>
    <row r="721" spans="1:37" s="7" customFormat="1" ht="39" customHeight="1" x14ac:dyDescent="0.25">
      <c r="A721" s="13"/>
      <c r="B721" s="21"/>
      <c r="C721" s="11"/>
      <c r="D721" s="11"/>
      <c r="E721" s="10"/>
      <c r="F721" s="10"/>
      <c r="G721" s="10"/>
      <c r="H721" s="10"/>
      <c r="I721" s="10"/>
      <c r="J721" s="10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9"/>
      <c r="AE721" s="8"/>
      <c r="AF721" s="6"/>
      <c r="AG721" s="6"/>
      <c r="AH721" s="6"/>
      <c r="AI721" s="9"/>
      <c r="AJ721" s="8"/>
      <c r="AK721" s="6"/>
    </row>
    <row r="722" spans="1:37" s="7" customFormat="1" ht="39" customHeight="1" x14ac:dyDescent="0.25">
      <c r="A722" s="20"/>
      <c r="B722" s="26"/>
      <c r="C722" s="25"/>
      <c r="D722" s="25"/>
      <c r="E722" s="15"/>
      <c r="F722" s="24"/>
      <c r="G722" s="24"/>
      <c r="H722" s="24"/>
      <c r="I722" s="24"/>
      <c r="J722" s="24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7"/>
      <c r="AE722" s="16"/>
      <c r="AF722" s="23"/>
      <c r="AG722" s="15"/>
      <c r="AH722" s="23"/>
      <c r="AI722" s="17"/>
      <c r="AJ722" s="16"/>
      <c r="AK722" s="15"/>
    </row>
    <row r="723" spans="1:37" s="7" customFormat="1" ht="39" customHeight="1" x14ac:dyDescent="0.25">
      <c r="A723" s="13"/>
      <c r="B723" s="12"/>
      <c r="C723" s="11"/>
      <c r="D723" s="11"/>
      <c r="E723" s="6"/>
      <c r="F723" s="10"/>
      <c r="G723" s="10"/>
      <c r="H723" s="10"/>
      <c r="I723" s="10"/>
      <c r="J723" s="10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9"/>
      <c r="AE723" s="8"/>
      <c r="AF723" s="6"/>
      <c r="AG723" s="6"/>
      <c r="AH723" s="6"/>
      <c r="AI723" s="9"/>
      <c r="AJ723" s="8"/>
      <c r="AK723" s="6"/>
    </row>
    <row r="724" spans="1:37" s="7" customFormat="1" ht="39" customHeight="1" x14ac:dyDescent="0.25">
      <c r="A724" s="13"/>
      <c r="B724" s="21"/>
      <c r="C724" s="11"/>
      <c r="D724" s="11"/>
      <c r="E724" s="10"/>
      <c r="F724" s="10"/>
      <c r="G724" s="10"/>
      <c r="H724" s="10"/>
      <c r="I724" s="10"/>
      <c r="J724" s="10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9"/>
      <c r="AE724" s="8"/>
      <c r="AF724" s="14"/>
      <c r="AG724" s="6"/>
      <c r="AH724" s="14"/>
      <c r="AI724" s="9"/>
      <c r="AJ724" s="8"/>
      <c r="AK724" s="6"/>
    </row>
    <row r="725" spans="1:37" s="7" customFormat="1" ht="39" customHeight="1" x14ac:dyDescent="0.25">
      <c r="A725" s="13"/>
      <c r="B725" s="21"/>
      <c r="C725" s="11"/>
      <c r="D725" s="11"/>
      <c r="E725" s="10"/>
      <c r="F725" s="10"/>
      <c r="G725" s="10"/>
      <c r="H725" s="10"/>
      <c r="I725" s="10"/>
      <c r="J725" s="10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9"/>
      <c r="AE725" s="8"/>
      <c r="AF725" s="6"/>
      <c r="AG725" s="6"/>
      <c r="AH725" s="6"/>
      <c r="AI725" s="9"/>
      <c r="AJ725" s="8"/>
      <c r="AK725" s="6"/>
    </row>
    <row r="726" spans="1:37" s="7" customFormat="1" ht="39" customHeight="1" x14ac:dyDescent="0.25">
      <c r="A726" s="13"/>
      <c r="B726" s="21"/>
      <c r="C726" s="11"/>
      <c r="D726" s="11"/>
      <c r="E726" s="10"/>
      <c r="F726" s="10"/>
      <c r="G726" s="10"/>
      <c r="H726" s="10"/>
      <c r="I726" s="10"/>
      <c r="J726" s="10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9"/>
      <c r="AE726" s="8"/>
      <c r="AF726" s="6"/>
      <c r="AG726" s="6"/>
      <c r="AH726" s="6"/>
      <c r="AI726" s="9"/>
      <c r="AJ726" s="8"/>
      <c r="AK726" s="6"/>
    </row>
    <row r="727" spans="1:37" s="7" customFormat="1" ht="39" customHeight="1" x14ac:dyDescent="0.25">
      <c r="A727" s="13"/>
      <c r="B727" s="12"/>
      <c r="C727" s="11"/>
      <c r="D727" s="11"/>
      <c r="E727" s="10"/>
      <c r="F727" s="10"/>
      <c r="G727" s="10"/>
      <c r="H727" s="10"/>
      <c r="I727" s="10"/>
      <c r="J727" s="10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9"/>
      <c r="AE727" s="8"/>
      <c r="AF727" s="14"/>
      <c r="AG727" s="6"/>
      <c r="AH727" s="14"/>
      <c r="AI727" s="9"/>
      <c r="AJ727" s="8"/>
      <c r="AK727" s="6"/>
    </row>
    <row r="728" spans="1:37" s="7" customFormat="1" ht="39" customHeight="1" x14ac:dyDescent="0.25">
      <c r="A728" s="13"/>
      <c r="B728" s="12"/>
      <c r="C728" s="11"/>
      <c r="D728" s="11"/>
      <c r="E728" s="10"/>
      <c r="F728" s="10"/>
      <c r="G728" s="10"/>
      <c r="H728" s="10"/>
      <c r="I728" s="10"/>
      <c r="J728" s="10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9"/>
      <c r="AE728" s="8"/>
      <c r="AF728" s="6"/>
      <c r="AG728" s="6"/>
      <c r="AH728" s="6"/>
      <c r="AI728" s="9"/>
      <c r="AJ728" s="8"/>
      <c r="AK728" s="6"/>
    </row>
    <row r="729" spans="1:37" s="7" customFormat="1" ht="39" customHeight="1" x14ac:dyDescent="0.25">
      <c r="A729" s="13"/>
      <c r="B729" s="12"/>
      <c r="C729" s="11"/>
      <c r="D729" s="11"/>
      <c r="E729" s="10"/>
      <c r="F729" s="10"/>
      <c r="G729" s="10"/>
      <c r="H729" s="10"/>
      <c r="I729" s="10"/>
      <c r="J729" s="10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9"/>
      <c r="AE729" s="8"/>
      <c r="AF729" s="14"/>
      <c r="AG729" s="6"/>
      <c r="AH729" s="14"/>
      <c r="AI729" s="9"/>
      <c r="AJ729" s="8"/>
      <c r="AK729" s="6"/>
    </row>
    <row r="730" spans="1:37" s="7" customFormat="1" ht="39" customHeight="1" x14ac:dyDescent="0.25">
      <c r="A730" s="13"/>
      <c r="B730" s="12"/>
      <c r="C730" s="11"/>
      <c r="D730" s="11"/>
      <c r="E730" s="6"/>
      <c r="F730" s="10"/>
      <c r="G730" s="10"/>
      <c r="H730" s="10"/>
      <c r="I730" s="10"/>
      <c r="J730" s="10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9"/>
      <c r="AE730" s="8"/>
      <c r="AF730" s="6"/>
      <c r="AG730" s="6"/>
      <c r="AH730" s="6"/>
      <c r="AI730" s="9"/>
      <c r="AJ730" s="8"/>
      <c r="AK730" s="6"/>
    </row>
    <row r="731" spans="1:37" s="7" customFormat="1" ht="39" customHeight="1" x14ac:dyDescent="0.25">
      <c r="A731" s="13"/>
      <c r="B731" s="12"/>
      <c r="C731" s="11"/>
      <c r="D731" s="11"/>
      <c r="E731" s="10"/>
      <c r="F731" s="10"/>
      <c r="G731" s="10"/>
      <c r="H731" s="10"/>
      <c r="I731" s="10"/>
      <c r="J731" s="10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9"/>
      <c r="AE731" s="8"/>
      <c r="AF731" s="6"/>
      <c r="AG731" s="6"/>
      <c r="AH731" s="6"/>
      <c r="AI731" s="9"/>
      <c r="AJ731" s="8"/>
      <c r="AK731" s="6"/>
    </row>
    <row r="732" spans="1:37" s="7" customFormat="1" ht="39" customHeight="1" x14ac:dyDescent="0.25">
      <c r="A732" s="13"/>
      <c r="B732" s="12"/>
      <c r="C732" s="11"/>
      <c r="D732" s="11"/>
      <c r="E732" s="10"/>
      <c r="F732" s="10"/>
      <c r="G732" s="10"/>
      <c r="H732" s="10"/>
      <c r="I732" s="10"/>
      <c r="J732" s="10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9"/>
      <c r="AE732" s="8"/>
      <c r="AF732" s="6"/>
      <c r="AG732" s="6"/>
      <c r="AH732" s="6"/>
      <c r="AI732" s="9"/>
      <c r="AJ732" s="8"/>
      <c r="AK732" s="6"/>
    </row>
    <row r="733" spans="1:37" s="7" customFormat="1" ht="39" customHeight="1" x14ac:dyDescent="0.25">
      <c r="A733" s="13"/>
      <c r="B733" s="12"/>
      <c r="C733" s="11"/>
      <c r="D733" s="11"/>
      <c r="E733" s="10"/>
      <c r="F733" s="10"/>
      <c r="G733" s="10"/>
      <c r="H733" s="10"/>
      <c r="I733" s="10"/>
      <c r="J733" s="10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9"/>
      <c r="AE733" s="8"/>
      <c r="AF733" s="14"/>
      <c r="AG733" s="6"/>
      <c r="AH733" s="14"/>
      <c r="AI733" s="9"/>
      <c r="AJ733" s="8"/>
      <c r="AK733" s="6"/>
    </row>
    <row r="734" spans="1:37" s="7" customFormat="1" ht="39" customHeight="1" x14ac:dyDescent="0.25">
      <c r="A734" s="13"/>
      <c r="B734" s="12"/>
      <c r="C734" s="11"/>
      <c r="D734" s="11"/>
      <c r="E734" s="10"/>
      <c r="F734" s="10"/>
      <c r="G734" s="10"/>
      <c r="H734" s="10"/>
      <c r="I734" s="10"/>
      <c r="J734" s="10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9"/>
      <c r="AE734" s="8"/>
      <c r="AF734" s="14"/>
      <c r="AG734" s="6"/>
      <c r="AH734" s="14"/>
      <c r="AI734" s="9"/>
      <c r="AJ734" s="8"/>
      <c r="AK734" s="6"/>
    </row>
    <row r="735" spans="1:37" s="7" customFormat="1" ht="39" customHeight="1" x14ac:dyDescent="0.25">
      <c r="A735" s="13"/>
      <c r="B735" s="12"/>
      <c r="C735" s="11"/>
      <c r="D735" s="11"/>
      <c r="E735" s="10"/>
      <c r="F735" s="10"/>
      <c r="G735" s="10"/>
      <c r="H735" s="10"/>
      <c r="I735" s="10"/>
      <c r="J735" s="10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9"/>
      <c r="AE735" s="8"/>
      <c r="AF735" s="6"/>
      <c r="AG735" s="6"/>
      <c r="AH735" s="6"/>
      <c r="AI735" s="9"/>
      <c r="AJ735" s="8"/>
      <c r="AK735" s="6"/>
    </row>
    <row r="736" spans="1:37" s="7" customFormat="1" ht="39" customHeight="1" x14ac:dyDescent="0.25">
      <c r="A736" s="13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6"/>
      <c r="M736" s="21"/>
      <c r="N736" s="21"/>
      <c r="O736" s="21"/>
      <c r="P736" s="21"/>
      <c r="Q736" s="21"/>
      <c r="R736" s="6"/>
      <c r="S736" s="6"/>
      <c r="T736" s="6"/>
      <c r="U736" s="21"/>
      <c r="V736" s="21"/>
      <c r="W736" s="6"/>
      <c r="X736" s="6"/>
      <c r="Y736" s="6"/>
      <c r="Z736" s="6"/>
      <c r="AA736" s="6"/>
      <c r="AB736" s="6"/>
      <c r="AC736" s="22"/>
      <c r="AD736" s="9"/>
      <c r="AE736" s="8"/>
      <c r="AF736" s="6"/>
      <c r="AG736" s="6"/>
      <c r="AH736" s="6"/>
      <c r="AI736" s="9"/>
      <c r="AJ736" s="8"/>
      <c r="AK736" s="6"/>
    </row>
    <row r="737" spans="1:37" s="7" customFormat="1" ht="39" customHeight="1" x14ac:dyDescent="0.25">
      <c r="A737" s="13"/>
      <c r="B737" s="21"/>
      <c r="C737" s="11"/>
      <c r="D737" s="11"/>
      <c r="E737" s="10"/>
      <c r="F737" s="10"/>
      <c r="G737" s="10"/>
      <c r="H737" s="10"/>
      <c r="I737" s="10"/>
      <c r="J737" s="10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9"/>
      <c r="AE737" s="8"/>
      <c r="AF737" s="6"/>
      <c r="AG737" s="6"/>
      <c r="AH737" s="6"/>
      <c r="AI737" s="9"/>
      <c r="AJ737" s="8"/>
      <c r="AK737" s="6"/>
    </row>
    <row r="738" spans="1:37" s="7" customFormat="1" ht="39" customHeight="1" x14ac:dyDescent="0.25">
      <c r="A738" s="13"/>
      <c r="B738" s="21"/>
      <c r="C738" s="11"/>
      <c r="D738" s="11"/>
      <c r="E738" s="10"/>
      <c r="F738" s="10"/>
      <c r="G738" s="10"/>
      <c r="H738" s="10"/>
      <c r="I738" s="10"/>
      <c r="J738" s="10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9"/>
      <c r="AE738" s="8"/>
      <c r="AF738" s="14"/>
      <c r="AG738" s="6"/>
      <c r="AH738" s="14"/>
      <c r="AI738" s="9"/>
      <c r="AJ738" s="8"/>
      <c r="AK738" s="6"/>
    </row>
    <row r="739" spans="1:37" s="7" customFormat="1" ht="39" customHeight="1" x14ac:dyDescent="0.25">
      <c r="A739" s="13"/>
      <c r="B739" s="12"/>
      <c r="C739" s="11"/>
      <c r="D739" s="11"/>
      <c r="E739" s="10"/>
      <c r="F739" s="10"/>
      <c r="G739" s="10"/>
      <c r="H739" s="10"/>
      <c r="I739" s="10"/>
      <c r="J739" s="10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9"/>
      <c r="AE739" s="8"/>
      <c r="AF739" s="6"/>
      <c r="AG739" s="6"/>
      <c r="AH739" s="6"/>
      <c r="AI739" s="9"/>
      <c r="AJ739" s="8"/>
      <c r="AK739" s="6"/>
    </row>
    <row r="740" spans="1:37" s="7" customFormat="1" ht="39" customHeight="1" x14ac:dyDescent="0.25">
      <c r="A740" s="13"/>
      <c r="B740" s="12"/>
      <c r="C740" s="11"/>
      <c r="D740" s="11"/>
      <c r="E740" s="10"/>
      <c r="F740" s="10"/>
      <c r="G740" s="10"/>
      <c r="H740" s="10"/>
      <c r="I740" s="10"/>
      <c r="J740" s="10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9"/>
      <c r="AE740" s="8"/>
      <c r="AF740" s="6"/>
      <c r="AG740" s="6"/>
      <c r="AH740" s="6"/>
      <c r="AI740" s="9"/>
      <c r="AJ740" s="8"/>
      <c r="AK740" s="6"/>
    </row>
    <row r="741" spans="1:37" s="7" customFormat="1" ht="39" customHeight="1" x14ac:dyDescent="0.25">
      <c r="A741" s="13"/>
      <c r="B741" s="12"/>
      <c r="C741" s="11"/>
      <c r="D741" s="11"/>
      <c r="E741" s="10"/>
      <c r="F741" s="10"/>
      <c r="G741" s="10"/>
      <c r="H741" s="10"/>
      <c r="I741" s="10"/>
      <c r="J741" s="10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9"/>
      <c r="AE741" s="8"/>
      <c r="AF741" s="6"/>
      <c r="AG741" s="6"/>
      <c r="AH741" s="14"/>
      <c r="AI741" s="9"/>
      <c r="AJ741" s="8"/>
      <c r="AK741" s="6"/>
    </row>
    <row r="742" spans="1:37" s="7" customFormat="1" ht="39" customHeight="1" x14ac:dyDescent="0.25">
      <c r="A742" s="13"/>
      <c r="B742" s="12"/>
      <c r="C742" s="11"/>
      <c r="D742" s="11"/>
      <c r="E742" s="10"/>
      <c r="F742" s="10"/>
      <c r="G742" s="10"/>
      <c r="H742" s="10"/>
      <c r="I742" s="10"/>
      <c r="J742" s="10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9"/>
      <c r="AE742" s="8"/>
      <c r="AF742" s="6"/>
      <c r="AG742" s="6"/>
      <c r="AH742" s="14"/>
      <c r="AI742" s="9"/>
      <c r="AJ742" s="8"/>
      <c r="AK742" s="6"/>
    </row>
    <row r="743" spans="1:37" s="7" customFormat="1" ht="39" customHeight="1" x14ac:dyDescent="0.25">
      <c r="A743" s="13"/>
      <c r="B743" s="12"/>
      <c r="C743" s="11"/>
      <c r="D743" s="11"/>
      <c r="E743" s="10"/>
      <c r="F743" s="10"/>
      <c r="G743" s="10"/>
      <c r="H743" s="10"/>
      <c r="I743" s="10"/>
      <c r="J743" s="10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9"/>
      <c r="AE743" s="8"/>
      <c r="AF743" s="14"/>
      <c r="AG743" s="6"/>
      <c r="AH743" s="14"/>
      <c r="AI743" s="9"/>
      <c r="AJ743" s="8"/>
      <c r="AK743" s="6"/>
    </row>
    <row r="744" spans="1:37" s="7" customFormat="1" ht="39" customHeight="1" x14ac:dyDescent="0.25">
      <c r="A744" s="13"/>
      <c r="B744" s="12"/>
      <c r="C744" s="11"/>
      <c r="D744" s="11"/>
      <c r="E744" s="10"/>
      <c r="F744" s="10"/>
      <c r="G744" s="10"/>
      <c r="H744" s="10"/>
      <c r="I744" s="10"/>
      <c r="J744" s="10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9"/>
      <c r="AE744" s="8"/>
      <c r="AF744" s="14"/>
      <c r="AG744" s="6"/>
      <c r="AH744" s="14"/>
      <c r="AI744" s="9"/>
      <c r="AJ744" s="8"/>
      <c r="AK744" s="6"/>
    </row>
    <row r="745" spans="1:37" s="7" customFormat="1" ht="39" customHeight="1" x14ac:dyDescent="0.25">
      <c r="A745" s="13"/>
      <c r="B745" s="12"/>
      <c r="C745" s="11"/>
      <c r="D745" s="11"/>
      <c r="E745" s="10"/>
      <c r="F745" s="10"/>
      <c r="G745" s="10"/>
      <c r="H745" s="10"/>
      <c r="I745" s="10"/>
      <c r="J745" s="10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9"/>
      <c r="AE745" s="8"/>
      <c r="AF745" s="6"/>
      <c r="AG745" s="6"/>
      <c r="AH745" s="6"/>
      <c r="AI745" s="9"/>
      <c r="AJ745" s="8"/>
      <c r="AK745" s="6"/>
    </row>
    <row r="746" spans="1:37" s="7" customFormat="1" ht="39" customHeight="1" x14ac:dyDescent="0.25">
      <c r="A746" s="13"/>
      <c r="B746" s="12"/>
      <c r="C746" s="11"/>
      <c r="D746" s="11"/>
      <c r="E746" s="6"/>
      <c r="F746" s="10"/>
      <c r="G746" s="10"/>
      <c r="H746" s="10"/>
      <c r="I746" s="10"/>
      <c r="J746" s="10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9"/>
      <c r="AE746" s="8"/>
      <c r="AF746" s="14"/>
      <c r="AG746" s="6"/>
      <c r="AH746" s="14"/>
      <c r="AI746" s="9"/>
      <c r="AJ746" s="8"/>
      <c r="AK746" s="6"/>
    </row>
    <row r="747" spans="1:37" s="7" customFormat="1" ht="39" customHeight="1" x14ac:dyDescent="0.25">
      <c r="A747" s="13"/>
      <c r="B747" s="12"/>
      <c r="C747" s="11"/>
      <c r="D747" s="11"/>
      <c r="E747" s="10"/>
      <c r="F747" s="10"/>
      <c r="G747" s="10"/>
      <c r="H747" s="10"/>
      <c r="I747" s="10"/>
      <c r="J747" s="10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9"/>
      <c r="AE747" s="8"/>
      <c r="AF747" s="6"/>
      <c r="AG747" s="6"/>
      <c r="AH747" s="6"/>
      <c r="AI747" s="9"/>
      <c r="AJ747" s="8"/>
      <c r="AK747" s="6"/>
    </row>
    <row r="748" spans="1:37" s="7" customFormat="1" ht="39" customHeight="1" x14ac:dyDescent="0.25">
      <c r="A748" s="13"/>
      <c r="B748" s="12"/>
      <c r="C748" s="11"/>
      <c r="D748" s="11"/>
      <c r="E748" s="6"/>
      <c r="F748" s="10"/>
      <c r="G748" s="10"/>
      <c r="H748" s="10"/>
      <c r="I748" s="10"/>
      <c r="J748" s="10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9"/>
      <c r="AE748" s="8"/>
      <c r="AF748" s="14"/>
      <c r="AG748" s="6"/>
      <c r="AH748" s="14"/>
      <c r="AI748" s="9"/>
      <c r="AJ748" s="8"/>
      <c r="AK748" s="6"/>
    </row>
    <row r="749" spans="1:37" s="7" customFormat="1" ht="39" customHeight="1" x14ac:dyDescent="0.25">
      <c r="A749" s="13"/>
      <c r="B749" s="12"/>
      <c r="C749" s="11"/>
      <c r="D749" s="11"/>
      <c r="E749" s="6"/>
      <c r="F749" s="10"/>
      <c r="G749" s="10"/>
      <c r="H749" s="10"/>
      <c r="I749" s="10"/>
      <c r="J749" s="10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9"/>
      <c r="AE749" s="8"/>
      <c r="AF749" s="6"/>
      <c r="AG749" s="6"/>
      <c r="AH749" s="6"/>
      <c r="AI749" s="9"/>
      <c r="AJ749" s="8"/>
      <c r="AK749" s="6"/>
    </row>
    <row r="750" spans="1:37" s="7" customFormat="1" ht="39" customHeight="1" x14ac:dyDescent="0.25">
      <c r="A750" s="13"/>
      <c r="B750" s="21"/>
      <c r="C750" s="11"/>
      <c r="D750" s="11"/>
      <c r="E750" s="10"/>
      <c r="F750" s="10"/>
      <c r="G750" s="10"/>
      <c r="H750" s="10"/>
      <c r="I750" s="10"/>
      <c r="J750" s="10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9"/>
      <c r="AE750" s="8"/>
      <c r="AF750" s="14"/>
      <c r="AG750" s="6"/>
      <c r="AH750" s="14"/>
      <c r="AI750" s="9"/>
      <c r="AJ750" s="8"/>
      <c r="AK750" s="6"/>
    </row>
    <row r="751" spans="1:37" s="7" customFormat="1" ht="39" customHeight="1" x14ac:dyDescent="0.25">
      <c r="A751" s="13"/>
      <c r="B751" s="21"/>
      <c r="C751" s="11"/>
      <c r="D751" s="11"/>
      <c r="E751" s="10"/>
      <c r="F751" s="10"/>
      <c r="G751" s="10"/>
      <c r="H751" s="10"/>
      <c r="I751" s="10"/>
      <c r="J751" s="10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9"/>
      <c r="AE751" s="8"/>
      <c r="AF751" s="6"/>
      <c r="AG751" s="6"/>
      <c r="AH751" s="6"/>
      <c r="AI751" s="9"/>
      <c r="AJ751" s="8"/>
      <c r="AK751" s="6"/>
    </row>
    <row r="752" spans="1:37" s="7" customFormat="1" ht="39" customHeight="1" x14ac:dyDescent="0.25">
      <c r="A752" s="13"/>
      <c r="B752" s="21"/>
      <c r="C752" s="11"/>
      <c r="D752" s="11"/>
      <c r="E752" s="10"/>
      <c r="F752" s="10"/>
      <c r="G752" s="10"/>
      <c r="H752" s="10"/>
      <c r="I752" s="10"/>
      <c r="J752" s="10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9"/>
      <c r="AE752" s="8"/>
      <c r="AF752" s="6"/>
      <c r="AG752" s="6"/>
      <c r="AH752" s="6"/>
      <c r="AI752" s="9"/>
      <c r="AJ752" s="8"/>
      <c r="AK752" s="6"/>
    </row>
    <row r="753" spans="1:37" s="7" customFormat="1" ht="39" customHeight="1" x14ac:dyDescent="0.25">
      <c r="A753" s="13"/>
      <c r="B753" s="12"/>
      <c r="C753" s="11"/>
      <c r="D753" s="11"/>
      <c r="E753" s="10"/>
      <c r="F753" s="10"/>
      <c r="G753" s="10"/>
      <c r="H753" s="10"/>
      <c r="I753" s="10"/>
      <c r="J753" s="10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9"/>
      <c r="AE753" s="8"/>
      <c r="AF753" s="14"/>
      <c r="AG753" s="6"/>
      <c r="AH753" s="14"/>
      <c r="AI753" s="9"/>
      <c r="AJ753" s="8"/>
      <c r="AK753" s="6"/>
    </row>
    <row r="754" spans="1:37" s="7" customFormat="1" ht="39" customHeight="1" x14ac:dyDescent="0.25">
      <c r="A754" s="13"/>
      <c r="B754" s="12"/>
      <c r="C754" s="11"/>
      <c r="D754" s="11"/>
      <c r="E754" s="10"/>
      <c r="F754" s="10"/>
      <c r="G754" s="10"/>
      <c r="H754" s="10"/>
      <c r="I754" s="10"/>
      <c r="J754" s="10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9"/>
      <c r="AE754" s="8"/>
      <c r="AF754" s="6"/>
      <c r="AG754" s="6"/>
      <c r="AH754" s="6"/>
      <c r="AI754" s="9"/>
      <c r="AJ754" s="8"/>
      <c r="AK754" s="6"/>
    </row>
    <row r="755" spans="1:37" s="7" customFormat="1" ht="39" customHeight="1" x14ac:dyDescent="0.25">
      <c r="A755" s="13"/>
      <c r="B755" s="12"/>
      <c r="C755" s="11"/>
      <c r="D755" s="11"/>
      <c r="E755" s="10"/>
      <c r="F755" s="10"/>
      <c r="G755" s="10"/>
      <c r="H755" s="10"/>
      <c r="I755" s="10"/>
      <c r="J755" s="10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9"/>
      <c r="AE755" s="8"/>
      <c r="AF755" s="14"/>
      <c r="AG755" s="6"/>
      <c r="AH755" s="14"/>
      <c r="AI755" s="9"/>
      <c r="AJ755" s="8"/>
      <c r="AK755" s="6"/>
    </row>
    <row r="756" spans="1:37" s="7" customFormat="1" ht="39" customHeight="1" x14ac:dyDescent="0.25">
      <c r="A756" s="13"/>
      <c r="B756" s="12"/>
      <c r="C756" s="11"/>
      <c r="D756" s="11"/>
      <c r="E756" s="6"/>
      <c r="F756" s="10"/>
      <c r="G756" s="10"/>
      <c r="H756" s="10"/>
      <c r="I756" s="10"/>
      <c r="J756" s="10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9"/>
      <c r="AE756" s="8"/>
      <c r="AF756" s="6"/>
      <c r="AG756" s="6"/>
      <c r="AH756" s="6"/>
      <c r="AI756" s="9"/>
      <c r="AJ756" s="8"/>
      <c r="AK756" s="6"/>
    </row>
    <row r="757" spans="1:37" s="7" customFormat="1" ht="39" customHeight="1" x14ac:dyDescent="0.25">
      <c r="A757" s="13"/>
      <c r="B757" s="12"/>
      <c r="C757" s="11"/>
      <c r="D757" s="11"/>
      <c r="E757" s="10"/>
      <c r="F757" s="10"/>
      <c r="G757" s="10"/>
      <c r="H757" s="10"/>
      <c r="I757" s="10"/>
      <c r="J757" s="10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9"/>
      <c r="AE757" s="8"/>
      <c r="AF757" s="6"/>
      <c r="AG757" s="6"/>
      <c r="AH757" s="6"/>
      <c r="AI757" s="9"/>
      <c r="AJ757" s="8"/>
      <c r="AK757" s="6"/>
    </row>
    <row r="758" spans="1:37" s="7" customFormat="1" ht="39" customHeight="1" x14ac:dyDescent="0.25">
      <c r="A758" s="13"/>
      <c r="B758" s="12"/>
      <c r="C758" s="11"/>
      <c r="D758" s="11"/>
      <c r="E758" s="10"/>
      <c r="F758" s="10"/>
      <c r="G758" s="10"/>
      <c r="H758" s="10"/>
      <c r="I758" s="10"/>
      <c r="J758" s="10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9"/>
      <c r="AE758" s="8"/>
      <c r="AF758" s="6"/>
      <c r="AG758" s="6"/>
      <c r="AH758" s="6"/>
      <c r="AI758" s="9"/>
      <c r="AJ758" s="8"/>
      <c r="AK758" s="6"/>
    </row>
    <row r="759" spans="1:37" s="7" customFormat="1" ht="39" customHeight="1" x14ac:dyDescent="0.25">
      <c r="A759" s="13"/>
      <c r="B759" s="12"/>
      <c r="C759" s="11"/>
      <c r="D759" s="11"/>
      <c r="E759" s="10"/>
      <c r="F759" s="10"/>
      <c r="G759" s="10"/>
      <c r="H759" s="10"/>
      <c r="I759" s="10"/>
      <c r="J759" s="10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9"/>
      <c r="AE759" s="8"/>
      <c r="AF759" s="14"/>
      <c r="AG759" s="6"/>
      <c r="AH759" s="14"/>
      <c r="AI759" s="9"/>
      <c r="AJ759" s="8"/>
      <c r="AK759" s="6"/>
    </row>
    <row r="760" spans="1:37" s="7" customFormat="1" ht="39" customHeight="1" x14ac:dyDescent="0.25">
      <c r="A760" s="13"/>
      <c r="B760" s="12"/>
      <c r="C760" s="11"/>
      <c r="D760" s="11"/>
      <c r="E760" s="10"/>
      <c r="F760" s="10"/>
      <c r="G760" s="10"/>
      <c r="H760" s="10"/>
      <c r="I760" s="10"/>
      <c r="J760" s="10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9"/>
      <c r="AE760" s="8"/>
      <c r="AF760" s="14"/>
      <c r="AG760" s="6"/>
      <c r="AH760" s="14"/>
      <c r="AI760" s="9"/>
      <c r="AJ760" s="8"/>
      <c r="AK760" s="6"/>
    </row>
    <row r="761" spans="1:37" s="7" customFormat="1" ht="39" customHeight="1" x14ac:dyDescent="0.25">
      <c r="A761" s="13"/>
      <c r="B761" s="12"/>
      <c r="C761" s="11"/>
      <c r="D761" s="11"/>
      <c r="E761" s="10"/>
      <c r="F761" s="10"/>
      <c r="G761" s="10"/>
      <c r="H761" s="10"/>
      <c r="I761" s="10"/>
      <c r="J761" s="10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9"/>
      <c r="AE761" s="8"/>
      <c r="AF761" s="6"/>
      <c r="AG761" s="6"/>
      <c r="AH761" s="6"/>
      <c r="AI761" s="9"/>
      <c r="AJ761" s="8"/>
      <c r="AK761" s="6"/>
    </row>
    <row r="762" spans="1:37" s="7" customFormat="1" ht="39" customHeight="1" x14ac:dyDescent="0.25">
      <c r="A762" s="13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6"/>
      <c r="M762" s="21"/>
      <c r="N762" s="21"/>
      <c r="O762" s="21"/>
      <c r="P762" s="21"/>
      <c r="Q762" s="21"/>
      <c r="R762" s="6"/>
      <c r="S762" s="6"/>
      <c r="T762" s="6"/>
      <c r="U762" s="21"/>
      <c r="V762" s="21"/>
      <c r="W762" s="6"/>
      <c r="X762" s="6"/>
      <c r="Y762" s="6"/>
      <c r="Z762" s="6"/>
      <c r="AA762" s="6"/>
      <c r="AB762" s="6"/>
      <c r="AC762" s="22"/>
      <c r="AD762" s="9"/>
      <c r="AE762" s="8"/>
      <c r="AF762" s="6"/>
      <c r="AG762" s="6"/>
      <c r="AH762" s="6"/>
      <c r="AI762" s="9"/>
      <c r="AJ762" s="8"/>
      <c r="AK762" s="6"/>
    </row>
    <row r="763" spans="1:37" s="7" customFormat="1" ht="39" customHeight="1" x14ac:dyDescent="0.25">
      <c r="A763" s="13"/>
      <c r="B763" s="21"/>
      <c r="C763" s="11"/>
      <c r="D763" s="11"/>
      <c r="E763" s="10"/>
      <c r="F763" s="10"/>
      <c r="G763" s="10"/>
      <c r="H763" s="10"/>
      <c r="I763" s="10"/>
      <c r="J763" s="10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9"/>
      <c r="AE763" s="8"/>
      <c r="AF763" s="6"/>
      <c r="AG763" s="6"/>
      <c r="AH763" s="6"/>
      <c r="AI763" s="9"/>
      <c r="AJ763" s="8"/>
      <c r="AK763" s="6"/>
    </row>
    <row r="764" spans="1:37" s="7" customFormat="1" ht="39" customHeight="1" x14ac:dyDescent="0.25">
      <c r="A764" s="13"/>
      <c r="B764" s="21"/>
      <c r="C764" s="11"/>
      <c r="D764" s="11"/>
      <c r="E764" s="10"/>
      <c r="F764" s="10"/>
      <c r="G764" s="10"/>
      <c r="H764" s="10"/>
      <c r="I764" s="10"/>
      <c r="J764" s="10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9"/>
      <c r="AE764" s="8"/>
      <c r="AF764" s="14"/>
      <c r="AG764" s="6"/>
      <c r="AH764" s="14"/>
      <c r="AI764" s="9"/>
      <c r="AJ764" s="8"/>
      <c r="AK764" s="6"/>
    </row>
    <row r="765" spans="1:37" s="7" customFormat="1" ht="39" customHeight="1" x14ac:dyDescent="0.25">
      <c r="A765" s="13"/>
      <c r="B765" s="12"/>
      <c r="C765" s="11"/>
      <c r="D765" s="11"/>
      <c r="E765" s="10"/>
      <c r="F765" s="10"/>
      <c r="G765" s="10"/>
      <c r="H765" s="10"/>
      <c r="I765" s="10"/>
      <c r="J765" s="10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9"/>
      <c r="AE765" s="8"/>
      <c r="AF765" s="6"/>
      <c r="AG765" s="6"/>
      <c r="AH765" s="6"/>
      <c r="AI765" s="9"/>
      <c r="AJ765" s="8"/>
      <c r="AK765" s="6"/>
    </row>
    <row r="766" spans="1:37" s="7" customFormat="1" ht="39" customHeight="1" x14ac:dyDescent="0.25">
      <c r="A766" s="13"/>
      <c r="B766" s="12"/>
      <c r="C766" s="11"/>
      <c r="D766" s="11"/>
      <c r="E766" s="10"/>
      <c r="F766" s="10"/>
      <c r="G766" s="10"/>
      <c r="H766" s="10"/>
      <c r="I766" s="10"/>
      <c r="J766" s="10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9"/>
      <c r="AE766" s="8"/>
      <c r="AF766" s="6"/>
      <c r="AG766" s="6"/>
      <c r="AH766" s="6"/>
      <c r="AI766" s="9"/>
      <c r="AJ766" s="8"/>
      <c r="AK766" s="6"/>
    </row>
    <row r="767" spans="1:37" s="7" customFormat="1" ht="39" customHeight="1" x14ac:dyDescent="0.25">
      <c r="A767" s="13"/>
      <c r="B767" s="12"/>
      <c r="C767" s="11"/>
      <c r="D767" s="11"/>
      <c r="E767" s="10"/>
      <c r="F767" s="10"/>
      <c r="G767" s="10"/>
      <c r="H767" s="10"/>
      <c r="I767" s="10"/>
      <c r="J767" s="10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9"/>
      <c r="AE767" s="8"/>
      <c r="AF767" s="6"/>
      <c r="AG767" s="6"/>
      <c r="AH767" s="14"/>
      <c r="AI767" s="9"/>
      <c r="AJ767" s="8"/>
      <c r="AK767" s="6"/>
    </row>
    <row r="768" spans="1:37" s="7" customFormat="1" ht="39" customHeight="1" x14ac:dyDescent="0.25">
      <c r="A768" s="13"/>
      <c r="B768" s="12"/>
      <c r="C768" s="11"/>
      <c r="D768" s="11"/>
      <c r="E768" s="10"/>
      <c r="F768" s="10"/>
      <c r="G768" s="10"/>
      <c r="H768" s="10"/>
      <c r="I768" s="10"/>
      <c r="J768" s="10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9"/>
      <c r="AE768" s="8"/>
      <c r="AF768" s="6"/>
      <c r="AG768" s="6"/>
      <c r="AH768" s="14"/>
      <c r="AI768" s="9"/>
      <c r="AJ768" s="8"/>
      <c r="AK768" s="6"/>
    </row>
    <row r="769" spans="1:37" s="7" customFormat="1" ht="39" customHeight="1" x14ac:dyDescent="0.25">
      <c r="A769" s="13"/>
      <c r="B769" s="12"/>
      <c r="C769" s="11"/>
      <c r="D769" s="11"/>
      <c r="E769" s="10"/>
      <c r="F769" s="10"/>
      <c r="G769" s="10"/>
      <c r="H769" s="10"/>
      <c r="I769" s="10"/>
      <c r="J769" s="10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9"/>
      <c r="AE769" s="8"/>
      <c r="AF769" s="14"/>
      <c r="AG769" s="6"/>
      <c r="AH769" s="14"/>
      <c r="AI769" s="9"/>
      <c r="AJ769" s="8"/>
      <c r="AK769" s="6"/>
    </row>
    <row r="770" spans="1:37" s="7" customFormat="1" ht="39" customHeight="1" x14ac:dyDescent="0.25">
      <c r="A770" s="13"/>
      <c r="B770" s="12"/>
      <c r="C770" s="11"/>
      <c r="D770" s="11"/>
      <c r="E770" s="10"/>
      <c r="F770" s="10"/>
      <c r="G770" s="10"/>
      <c r="H770" s="10"/>
      <c r="I770" s="10"/>
      <c r="J770" s="10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9"/>
      <c r="AE770" s="8"/>
      <c r="AF770" s="14"/>
      <c r="AG770" s="6"/>
      <c r="AH770" s="14"/>
      <c r="AI770" s="9"/>
      <c r="AJ770" s="8"/>
      <c r="AK770" s="6"/>
    </row>
    <row r="771" spans="1:37" s="7" customFormat="1" ht="39" customHeight="1" x14ac:dyDescent="0.25">
      <c r="A771" s="13"/>
      <c r="B771" s="12"/>
      <c r="C771" s="11"/>
      <c r="D771" s="11"/>
      <c r="E771" s="10"/>
      <c r="F771" s="10"/>
      <c r="G771" s="10"/>
      <c r="H771" s="10"/>
      <c r="I771" s="10"/>
      <c r="J771" s="10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9"/>
      <c r="AE771" s="8"/>
      <c r="AF771" s="6"/>
      <c r="AG771" s="6"/>
      <c r="AH771" s="6"/>
      <c r="AI771" s="9"/>
      <c r="AJ771" s="8"/>
      <c r="AK771" s="6"/>
    </row>
    <row r="772" spans="1:37" s="7" customFormat="1" ht="39" customHeight="1" x14ac:dyDescent="0.25">
      <c r="A772" s="13"/>
      <c r="B772" s="12"/>
      <c r="C772" s="11"/>
      <c r="D772" s="11"/>
      <c r="E772" s="6"/>
      <c r="F772" s="10"/>
      <c r="G772" s="10"/>
      <c r="H772" s="10"/>
      <c r="I772" s="10"/>
      <c r="J772" s="10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9"/>
      <c r="AE772" s="8"/>
      <c r="AF772" s="14"/>
      <c r="AG772" s="6"/>
      <c r="AH772" s="14"/>
      <c r="AI772" s="9"/>
      <c r="AJ772" s="8"/>
      <c r="AK772" s="6"/>
    </row>
    <row r="773" spans="1:37" s="7" customFormat="1" ht="39" customHeight="1" x14ac:dyDescent="0.25">
      <c r="A773" s="13"/>
      <c r="B773" s="12"/>
      <c r="C773" s="11"/>
      <c r="D773" s="11"/>
      <c r="E773" s="10"/>
      <c r="F773" s="10"/>
      <c r="G773" s="10"/>
      <c r="H773" s="10"/>
      <c r="I773" s="10"/>
      <c r="J773" s="10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9"/>
      <c r="AE773" s="8"/>
      <c r="AF773" s="6"/>
      <c r="AG773" s="6"/>
      <c r="AH773" s="6"/>
      <c r="AI773" s="9"/>
      <c r="AJ773" s="8"/>
      <c r="AK773" s="6"/>
    </row>
    <row r="774" spans="1:37" s="7" customFormat="1" ht="39" customHeight="1" x14ac:dyDescent="0.25">
      <c r="A774" s="13"/>
      <c r="B774" s="12"/>
      <c r="C774" s="11"/>
      <c r="D774" s="11"/>
      <c r="E774" s="6"/>
      <c r="F774" s="10"/>
      <c r="G774" s="10"/>
      <c r="H774" s="10"/>
      <c r="I774" s="10"/>
      <c r="J774" s="10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9"/>
      <c r="AE774" s="8"/>
      <c r="AF774" s="14"/>
      <c r="AG774" s="6"/>
      <c r="AH774" s="14"/>
      <c r="AI774" s="9"/>
      <c r="AJ774" s="8"/>
      <c r="AK774" s="6"/>
    </row>
    <row r="775" spans="1:37" s="7" customFormat="1" ht="39" customHeight="1" x14ac:dyDescent="0.25">
      <c r="A775" s="13"/>
      <c r="B775" s="12"/>
      <c r="C775" s="11"/>
      <c r="D775" s="11"/>
      <c r="E775" s="6"/>
      <c r="F775" s="10"/>
      <c r="G775" s="10"/>
      <c r="H775" s="10"/>
      <c r="I775" s="10"/>
      <c r="J775" s="10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9"/>
      <c r="AE775" s="8"/>
      <c r="AF775" s="6"/>
      <c r="AG775" s="6"/>
      <c r="AH775" s="6"/>
      <c r="AI775" s="9"/>
      <c r="AJ775" s="8"/>
      <c r="AK775" s="6"/>
    </row>
    <row r="776" spans="1:37" s="7" customFormat="1" ht="39" customHeight="1" x14ac:dyDescent="0.25">
      <c r="A776" s="13"/>
      <c r="B776" s="21"/>
      <c r="C776" s="11"/>
      <c r="D776" s="11"/>
      <c r="E776" s="10"/>
      <c r="F776" s="10"/>
      <c r="G776" s="10"/>
      <c r="H776" s="10"/>
      <c r="I776" s="10"/>
      <c r="J776" s="10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9"/>
      <c r="AE776" s="8"/>
      <c r="AF776" s="14"/>
      <c r="AG776" s="6"/>
      <c r="AH776" s="14"/>
      <c r="AI776" s="9"/>
      <c r="AJ776" s="8"/>
      <c r="AK776" s="6"/>
    </row>
    <row r="777" spans="1:37" s="7" customFormat="1" ht="39" customHeight="1" x14ac:dyDescent="0.25">
      <c r="A777" s="13"/>
      <c r="B777" s="21"/>
      <c r="C777" s="11"/>
      <c r="D777" s="11"/>
      <c r="E777" s="10"/>
      <c r="F777" s="10"/>
      <c r="G777" s="10"/>
      <c r="H777" s="10"/>
      <c r="I777" s="10"/>
      <c r="J777" s="10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9"/>
      <c r="AE777" s="8"/>
      <c r="AF777" s="6"/>
      <c r="AG777" s="6"/>
      <c r="AH777" s="6"/>
      <c r="AI777" s="9"/>
      <c r="AJ777" s="8"/>
      <c r="AK777" s="6"/>
    </row>
    <row r="778" spans="1:37" s="7" customFormat="1" ht="39" customHeight="1" x14ac:dyDescent="0.25">
      <c r="A778" s="13"/>
      <c r="B778" s="21"/>
      <c r="C778" s="11"/>
      <c r="D778" s="11"/>
      <c r="E778" s="10"/>
      <c r="F778" s="10"/>
      <c r="G778" s="10"/>
      <c r="H778" s="10"/>
      <c r="I778" s="10"/>
      <c r="J778" s="10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9"/>
      <c r="AE778" s="8"/>
      <c r="AF778" s="6"/>
      <c r="AG778" s="6"/>
      <c r="AH778" s="6"/>
      <c r="AI778" s="9"/>
      <c r="AJ778" s="8"/>
      <c r="AK778" s="6"/>
    </row>
    <row r="779" spans="1:37" s="7" customFormat="1" ht="39" customHeight="1" x14ac:dyDescent="0.25">
      <c r="A779" s="13"/>
      <c r="B779" s="12"/>
      <c r="C779" s="11"/>
      <c r="D779" s="11"/>
      <c r="E779" s="10"/>
      <c r="F779" s="10"/>
      <c r="G779" s="10"/>
      <c r="H779" s="10"/>
      <c r="I779" s="10"/>
      <c r="J779" s="10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9"/>
      <c r="AE779" s="8"/>
      <c r="AF779" s="14"/>
      <c r="AG779" s="6"/>
      <c r="AH779" s="14"/>
      <c r="AI779" s="9"/>
      <c r="AJ779" s="8"/>
      <c r="AK779" s="6"/>
    </row>
    <row r="780" spans="1:37" s="7" customFormat="1" ht="39" customHeight="1" x14ac:dyDescent="0.25">
      <c r="A780" s="13"/>
      <c r="B780" s="12"/>
      <c r="C780" s="11"/>
      <c r="D780" s="11"/>
      <c r="E780" s="10"/>
      <c r="F780" s="10"/>
      <c r="G780" s="10"/>
      <c r="H780" s="10"/>
      <c r="I780" s="10"/>
      <c r="J780" s="10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9"/>
      <c r="AE780" s="8"/>
      <c r="AF780" s="6"/>
      <c r="AG780" s="6"/>
      <c r="AH780" s="6"/>
      <c r="AI780" s="9"/>
      <c r="AJ780" s="8"/>
      <c r="AK780" s="6"/>
    </row>
    <row r="781" spans="1:37" s="7" customFormat="1" ht="39" customHeight="1" x14ac:dyDescent="0.25">
      <c r="A781" s="13"/>
      <c r="B781" s="12"/>
      <c r="C781" s="11"/>
      <c r="D781" s="11"/>
      <c r="E781" s="10"/>
      <c r="F781" s="10"/>
      <c r="G781" s="10"/>
      <c r="H781" s="10"/>
      <c r="I781" s="10"/>
      <c r="J781" s="10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9"/>
      <c r="AE781" s="8"/>
      <c r="AF781" s="14"/>
      <c r="AG781" s="6"/>
      <c r="AH781" s="14"/>
      <c r="AI781" s="9"/>
      <c r="AJ781" s="8"/>
      <c r="AK781" s="6"/>
    </row>
    <row r="782" spans="1:37" s="7" customFormat="1" ht="39" customHeight="1" x14ac:dyDescent="0.25">
      <c r="A782" s="13"/>
      <c r="B782" s="12"/>
      <c r="C782" s="11"/>
      <c r="D782" s="11"/>
      <c r="E782" s="6"/>
      <c r="F782" s="10"/>
      <c r="G782" s="10"/>
      <c r="H782" s="10"/>
      <c r="I782" s="10"/>
      <c r="J782" s="10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9"/>
      <c r="AE782" s="8"/>
      <c r="AF782" s="6"/>
      <c r="AG782" s="6"/>
      <c r="AH782" s="6"/>
      <c r="AI782" s="9"/>
      <c r="AJ782" s="8"/>
      <c r="AK782" s="6"/>
    </row>
    <row r="783" spans="1:37" s="7" customFormat="1" ht="39" customHeight="1" x14ac:dyDescent="0.25">
      <c r="A783" s="13"/>
      <c r="B783" s="12"/>
      <c r="C783" s="11"/>
      <c r="D783" s="11"/>
      <c r="E783" s="10"/>
      <c r="F783" s="10"/>
      <c r="G783" s="10"/>
      <c r="H783" s="10"/>
      <c r="I783" s="10"/>
      <c r="J783" s="10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9"/>
      <c r="AE783" s="8"/>
      <c r="AF783" s="6"/>
      <c r="AG783" s="6"/>
      <c r="AH783" s="6"/>
      <c r="AI783" s="9"/>
      <c r="AJ783" s="8"/>
      <c r="AK783" s="6"/>
    </row>
    <row r="784" spans="1:37" s="7" customFormat="1" ht="39" customHeight="1" x14ac:dyDescent="0.25">
      <c r="A784" s="13"/>
      <c r="B784" s="12"/>
      <c r="C784" s="11"/>
      <c r="D784" s="11"/>
      <c r="E784" s="10"/>
      <c r="F784" s="10"/>
      <c r="G784" s="10"/>
      <c r="H784" s="10"/>
      <c r="I784" s="10"/>
      <c r="J784" s="10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9"/>
      <c r="AE784" s="8"/>
      <c r="AF784" s="6"/>
      <c r="AG784" s="6"/>
      <c r="AH784" s="6"/>
      <c r="AI784" s="9"/>
      <c r="AJ784" s="8"/>
      <c r="AK784" s="6"/>
    </row>
    <row r="785" spans="1:37" s="7" customFormat="1" ht="39" customHeight="1" x14ac:dyDescent="0.25">
      <c r="A785" s="13"/>
      <c r="B785" s="12"/>
      <c r="C785" s="11"/>
      <c r="D785" s="11"/>
      <c r="E785" s="10"/>
      <c r="F785" s="10"/>
      <c r="G785" s="10"/>
      <c r="H785" s="10"/>
      <c r="I785" s="10"/>
      <c r="J785" s="10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9"/>
      <c r="AE785" s="8"/>
      <c r="AF785" s="14"/>
      <c r="AG785" s="6"/>
      <c r="AH785" s="14"/>
      <c r="AI785" s="9"/>
      <c r="AJ785" s="8"/>
      <c r="AK785" s="6"/>
    </row>
    <row r="786" spans="1:37" s="7" customFormat="1" ht="39" customHeight="1" x14ac:dyDescent="0.25">
      <c r="A786" s="13"/>
      <c r="B786" s="12"/>
      <c r="C786" s="11"/>
      <c r="D786" s="11"/>
      <c r="E786" s="10"/>
      <c r="F786" s="10"/>
      <c r="G786" s="10"/>
      <c r="H786" s="10"/>
      <c r="I786" s="10"/>
      <c r="J786" s="10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9"/>
      <c r="AE786" s="8"/>
      <c r="AF786" s="14"/>
      <c r="AG786" s="6"/>
      <c r="AH786" s="14"/>
      <c r="AI786" s="9"/>
      <c r="AJ786" s="8"/>
      <c r="AK786" s="6"/>
    </row>
    <row r="787" spans="1:37" s="7" customFormat="1" ht="39" customHeight="1" x14ac:dyDescent="0.25">
      <c r="A787" s="13"/>
      <c r="B787" s="12"/>
      <c r="C787" s="11"/>
      <c r="D787" s="11"/>
      <c r="E787" s="10"/>
      <c r="F787" s="10"/>
      <c r="G787" s="10"/>
      <c r="H787" s="10"/>
      <c r="I787" s="10"/>
      <c r="J787" s="10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9"/>
      <c r="AE787" s="8"/>
      <c r="AF787" s="6"/>
      <c r="AG787" s="6"/>
      <c r="AH787" s="6"/>
      <c r="AI787" s="9"/>
      <c r="AJ787" s="8"/>
      <c r="AK787" s="6"/>
    </row>
    <row r="788" spans="1:37" s="7" customFormat="1" ht="39" customHeight="1" x14ac:dyDescent="0.25">
      <c r="A788" s="13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6"/>
      <c r="M788" s="21"/>
      <c r="N788" s="21"/>
      <c r="O788" s="21"/>
      <c r="P788" s="21"/>
      <c r="Q788" s="21"/>
      <c r="R788" s="6"/>
      <c r="S788" s="6"/>
      <c r="T788" s="6"/>
      <c r="U788" s="21"/>
      <c r="V788" s="21"/>
      <c r="W788" s="6"/>
      <c r="X788" s="6"/>
      <c r="Y788" s="6"/>
      <c r="Z788" s="6"/>
      <c r="AA788" s="6"/>
      <c r="AB788" s="6"/>
      <c r="AC788" s="22"/>
      <c r="AD788" s="9"/>
      <c r="AE788" s="8"/>
      <c r="AF788" s="6"/>
      <c r="AG788" s="6"/>
      <c r="AH788" s="6"/>
      <c r="AI788" s="9"/>
      <c r="AJ788" s="8"/>
      <c r="AK788" s="6"/>
    </row>
    <row r="789" spans="1:37" s="7" customFormat="1" ht="39" customHeight="1" x14ac:dyDescent="0.25">
      <c r="A789" s="13"/>
      <c r="B789" s="21"/>
      <c r="C789" s="11"/>
      <c r="D789" s="11"/>
      <c r="E789" s="10"/>
      <c r="F789" s="10"/>
      <c r="G789" s="10"/>
      <c r="H789" s="10"/>
      <c r="I789" s="10"/>
      <c r="J789" s="10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22"/>
      <c r="AD789" s="9"/>
      <c r="AE789" s="8"/>
      <c r="AF789" s="6"/>
      <c r="AG789" s="6"/>
      <c r="AH789" s="6"/>
      <c r="AI789" s="9"/>
      <c r="AJ789" s="8"/>
      <c r="AK789" s="6"/>
    </row>
    <row r="790" spans="1:37" s="7" customFormat="1" ht="39" customHeight="1" x14ac:dyDescent="0.25">
      <c r="A790" s="13"/>
      <c r="B790" s="21"/>
      <c r="C790" s="11"/>
      <c r="D790" s="11"/>
      <c r="E790" s="10"/>
      <c r="F790" s="10"/>
      <c r="G790" s="10"/>
      <c r="H790" s="10"/>
      <c r="I790" s="10"/>
      <c r="J790" s="10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9"/>
      <c r="AE790" s="8"/>
      <c r="AF790" s="14"/>
      <c r="AG790" s="6"/>
      <c r="AH790" s="14"/>
      <c r="AI790" s="9"/>
      <c r="AJ790" s="8"/>
      <c r="AK790" s="6"/>
    </row>
    <row r="791" spans="1:37" s="7" customFormat="1" ht="39" customHeight="1" x14ac:dyDescent="0.25">
      <c r="A791" s="13"/>
      <c r="B791" s="12"/>
      <c r="C791" s="11"/>
      <c r="D791" s="11"/>
      <c r="E791" s="10"/>
      <c r="F791" s="10"/>
      <c r="G791" s="10"/>
      <c r="H791" s="10"/>
      <c r="I791" s="10"/>
      <c r="J791" s="10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9"/>
      <c r="AE791" s="8"/>
      <c r="AF791" s="6"/>
      <c r="AG791" s="6"/>
      <c r="AH791" s="6"/>
      <c r="AI791" s="9"/>
      <c r="AJ791" s="8"/>
      <c r="AK791" s="6"/>
    </row>
    <row r="792" spans="1:37" s="7" customFormat="1" ht="39" customHeight="1" x14ac:dyDescent="0.25">
      <c r="A792" s="13"/>
      <c r="B792" s="12"/>
      <c r="C792" s="11"/>
      <c r="D792" s="11"/>
      <c r="E792" s="10"/>
      <c r="F792" s="10"/>
      <c r="G792" s="10"/>
      <c r="H792" s="10"/>
      <c r="I792" s="10"/>
      <c r="J792" s="10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9"/>
      <c r="AE792" s="8"/>
      <c r="AF792" s="6"/>
      <c r="AG792" s="6"/>
      <c r="AH792" s="6"/>
      <c r="AI792" s="9"/>
      <c r="AJ792" s="8"/>
      <c r="AK792" s="6"/>
    </row>
    <row r="793" spans="1:37" s="7" customFormat="1" ht="39" customHeight="1" x14ac:dyDescent="0.25">
      <c r="A793" s="13"/>
      <c r="B793" s="12"/>
      <c r="C793" s="11"/>
      <c r="D793" s="11"/>
      <c r="E793" s="10"/>
      <c r="F793" s="10"/>
      <c r="G793" s="10"/>
      <c r="H793" s="10"/>
      <c r="I793" s="10"/>
      <c r="J793" s="10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9"/>
      <c r="AE793" s="8"/>
      <c r="AF793" s="6"/>
      <c r="AG793" s="6"/>
      <c r="AH793" s="14"/>
      <c r="AI793" s="9"/>
      <c r="AJ793" s="8"/>
      <c r="AK793" s="6"/>
    </row>
    <row r="794" spans="1:37" s="7" customFormat="1" ht="39" customHeight="1" x14ac:dyDescent="0.25">
      <c r="A794" s="13"/>
      <c r="B794" s="12"/>
      <c r="C794" s="11"/>
      <c r="D794" s="11"/>
      <c r="E794" s="10"/>
      <c r="F794" s="10"/>
      <c r="G794" s="10"/>
      <c r="H794" s="10"/>
      <c r="I794" s="10"/>
      <c r="J794" s="10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9"/>
      <c r="AE794" s="8"/>
      <c r="AF794" s="6"/>
      <c r="AG794" s="6"/>
      <c r="AH794" s="6"/>
      <c r="AI794" s="9"/>
      <c r="AJ794" s="8"/>
      <c r="AK794" s="6"/>
    </row>
    <row r="795" spans="1:37" s="7" customFormat="1" ht="39" customHeight="1" x14ac:dyDescent="0.25">
      <c r="A795" s="13"/>
      <c r="B795" s="12"/>
      <c r="C795" s="11"/>
      <c r="D795" s="11"/>
      <c r="E795" s="10"/>
      <c r="F795" s="10"/>
      <c r="G795" s="10"/>
      <c r="H795" s="10"/>
      <c r="I795" s="10"/>
      <c r="J795" s="10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9"/>
      <c r="AE795" s="8"/>
      <c r="AF795" s="14"/>
      <c r="AG795" s="6"/>
      <c r="AH795" s="14"/>
      <c r="AI795" s="9"/>
      <c r="AJ795" s="8"/>
      <c r="AK795" s="6"/>
    </row>
    <row r="796" spans="1:37" s="7" customFormat="1" ht="39" customHeight="1" x14ac:dyDescent="0.25">
      <c r="A796" s="13"/>
      <c r="B796" s="12"/>
      <c r="C796" s="11"/>
      <c r="D796" s="11"/>
      <c r="E796" s="6"/>
      <c r="F796" s="10"/>
      <c r="G796" s="10"/>
      <c r="H796" s="10"/>
      <c r="I796" s="10"/>
      <c r="J796" s="10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9"/>
      <c r="AE796" s="8"/>
      <c r="AF796" s="14"/>
      <c r="AG796" s="6"/>
      <c r="AH796" s="14"/>
      <c r="AI796" s="9"/>
      <c r="AJ796" s="8"/>
      <c r="AK796" s="6"/>
    </row>
    <row r="797" spans="1:37" s="7" customFormat="1" ht="39" customHeight="1" x14ac:dyDescent="0.25">
      <c r="A797" s="13"/>
      <c r="B797" s="12"/>
      <c r="C797" s="11"/>
      <c r="D797" s="11"/>
      <c r="E797" s="6"/>
      <c r="F797" s="10"/>
      <c r="G797" s="10"/>
      <c r="H797" s="10"/>
      <c r="I797" s="10"/>
      <c r="J797" s="10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9"/>
      <c r="AE797" s="8"/>
      <c r="AF797" s="14"/>
      <c r="AG797" s="6"/>
      <c r="AH797" s="14"/>
      <c r="AI797" s="9"/>
      <c r="AJ797" s="8"/>
      <c r="AK797" s="6"/>
    </row>
    <row r="798" spans="1:37" s="7" customFormat="1" ht="39" customHeight="1" x14ac:dyDescent="0.25">
      <c r="A798" s="13"/>
      <c r="B798" s="12"/>
      <c r="C798" s="11"/>
      <c r="D798" s="11"/>
      <c r="E798" s="6"/>
      <c r="F798" s="10"/>
      <c r="G798" s="10"/>
      <c r="H798" s="10"/>
      <c r="I798" s="10"/>
      <c r="J798" s="10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9"/>
      <c r="AE798" s="8"/>
      <c r="AF798" s="14"/>
      <c r="AG798" s="6"/>
      <c r="AH798" s="14"/>
      <c r="AI798" s="9"/>
      <c r="AJ798" s="8"/>
      <c r="AK798" s="6"/>
    </row>
    <row r="799" spans="1:37" s="7" customFormat="1" ht="39" customHeight="1" x14ac:dyDescent="0.25">
      <c r="A799" s="13"/>
      <c r="B799" s="12"/>
      <c r="C799" s="11"/>
      <c r="D799" s="11"/>
      <c r="E799" s="10"/>
      <c r="F799" s="10"/>
      <c r="G799" s="10"/>
      <c r="H799" s="10"/>
      <c r="I799" s="10"/>
      <c r="J799" s="10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9"/>
      <c r="AE799" s="8"/>
      <c r="AF799" s="6"/>
      <c r="AG799" s="6"/>
      <c r="AH799" s="6"/>
      <c r="AI799" s="9"/>
      <c r="AJ799" s="8"/>
      <c r="AK799" s="6"/>
    </row>
    <row r="800" spans="1:37" s="7" customFormat="1" ht="39" customHeight="1" x14ac:dyDescent="0.25">
      <c r="A800" s="13"/>
      <c r="B800" s="12"/>
      <c r="C800" s="11"/>
      <c r="D800" s="11"/>
      <c r="E800" s="10"/>
      <c r="F800" s="10"/>
      <c r="G800" s="10"/>
      <c r="H800" s="10"/>
      <c r="I800" s="10"/>
      <c r="J800" s="10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9"/>
      <c r="AE800" s="8"/>
      <c r="AF800" s="14"/>
      <c r="AG800" s="6"/>
      <c r="AH800" s="14"/>
      <c r="AI800" s="9"/>
      <c r="AJ800" s="8"/>
      <c r="AK800" s="6"/>
    </row>
    <row r="801" spans="1:37" s="7" customFormat="1" ht="39" customHeight="1" x14ac:dyDescent="0.25">
      <c r="A801" s="13"/>
      <c r="B801" s="12"/>
      <c r="C801" s="11"/>
      <c r="D801" s="11"/>
      <c r="E801" s="6"/>
      <c r="F801" s="10"/>
      <c r="G801" s="10"/>
      <c r="H801" s="10"/>
      <c r="I801" s="10"/>
      <c r="J801" s="10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9"/>
      <c r="AE801" s="8"/>
      <c r="AF801" s="6"/>
      <c r="AG801" s="6"/>
      <c r="AH801" s="6"/>
      <c r="AI801" s="9"/>
      <c r="AJ801" s="8"/>
      <c r="AK801" s="6"/>
    </row>
    <row r="802" spans="1:37" s="7" customFormat="1" ht="39" customHeight="1" x14ac:dyDescent="0.25">
      <c r="A802" s="13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6"/>
      <c r="M802" s="21"/>
      <c r="N802" s="21"/>
      <c r="O802" s="21"/>
      <c r="P802" s="21"/>
      <c r="Q802" s="21"/>
      <c r="R802" s="6"/>
      <c r="S802" s="6"/>
      <c r="T802" s="6"/>
      <c r="U802" s="21"/>
      <c r="V802" s="21"/>
      <c r="W802" s="6"/>
      <c r="X802" s="6"/>
      <c r="Y802" s="6"/>
      <c r="Z802" s="6"/>
      <c r="AA802" s="6"/>
      <c r="AB802" s="6"/>
      <c r="AC802" s="6"/>
      <c r="AD802" s="9"/>
      <c r="AE802" s="8"/>
      <c r="AF802" s="14"/>
      <c r="AG802" s="6"/>
      <c r="AH802" s="14"/>
      <c r="AI802" s="9"/>
      <c r="AJ802" s="8"/>
      <c r="AK802" s="6"/>
    </row>
    <row r="803" spans="1:37" s="7" customFormat="1" ht="39" customHeight="1" x14ac:dyDescent="0.25">
      <c r="A803" s="13"/>
      <c r="B803" s="21"/>
      <c r="C803" s="11"/>
      <c r="D803" s="11"/>
      <c r="E803" s="10"/>
      <c r="F803" s="10"/>
      <c r="G803" s="10"/>
      <c r="H803" s="10"/>
      <c r="I803" s="10"/>
      <c r="J803" s="10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22"/>
      <c r="AD803" s="9"/>
      <c r="AE803" s="8"/>
      <c r="AF803" s="6"/>
      <c r="AG803" s="6"/>
      <c r="AH803" s="6"/>
      <c r="AI803" s="9"/>
      <c r="AJ803" s="8"/>
      <c r="AK803" s="6"/>
    </row>
    <row r="804" spans="1:37" s="7" customFormat="1" ht="39" customHeight="1" x14ac:dyDescent="0.25">
      <c r="A804" s="13"/>
      <c r="B804" s="12"/>
      <c r="C804" s="11"/>
      <c r="D804" s="11"/>
      <c r="E804" s="10"/>
      <c r="F804" s="10"/>
      <c r="G804" s="10"/>
      <c r="H804" s="10"/>
      <c r="I804" s="10"/>
      <c r="J804" s="10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9"/>
      <c r="AE804" s="8"/>
      <c r="AF804" s="14"/>
      <c r="AG804" s="6"/>
      <c r="AH804" s="6"/>
      <c r="AI804" s="9"/>
      <c r="AJ804" s="8"/>
      <c r="AK804" s="6"/>
    </row>
    <row r="805" spans="1:37" s="7" customFormat="1" ht="39" customHeight="1" x14ac:dyDescent="0.25">
      <c r="A805" s="13"/>
      <c r="B805" s="12"/>
      <c r="C805" s="11"/>
      <c r="D805" s="11"/>
      <c r="E805" s="10"/>
      <c r="F805" s="10"/>
      <c r="G805" s="10"/>
      <c r="H805" s="10"/>
      <c r="I805" s="10"/>
      <c r="J805" s="10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9"/>
      <c r="AE805" s="8"/>
      <c r="AF805" s="6"/>
      <c r="AG805" s="6"/>
      <c r="AH805" s="14"/>
      <c r="AI805" s="9"/>
      <c r="AJ805" s="8"/>
      <c r="AK805" s="6"/>
    </row>
    <row r="806" spans="1:37" s="7" customFormat="1" ht="39" customHeight="1" x14ac:dyDescent="0.25">
      <c r="A806" s="13"/>
      <c r="B806" s="12"/>
      <c r="C806" s="11"/>
      <c r="D806" s="11"/>
      <c r="E806" s="10"/>
      <c r="F806" s="10"/>
      <c r="G806" s="10"/>
      <c r="H806" s="10"/>
      <c r="I806" s="10"/>
      <c r="J806" s="10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9"/>
      <c r="AE806" s="8"/>
      <c r="AF806" s="14"/>
      <c r="AG806" s="6"/>
      <c r="AH806" s="6"/>
      <c r="AI806" s="9"/>
      <c r="AJ806" s="8"/>
      <c r="AK806" s="6"/>
    </row>
    <row r="807" spans="1:37" s="7" customFormat="1" ht="39" customHeight="1" x14ac:dyDescent="0.25">
      <c r="A807" s="13"/>
      <c r="B807" s="12"/>
      <c r="C807" s="11"/>
      <c r="D807" s="11"/>
      <c r="E807" s="10"/>
      <c r="F807" s="10"/>
      <c r="G807" s="10"/>
      <c r="H807" s="10"/>
      <c r="I807" s="10"/>
      <c r="J807" s="10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9"/>
      <c r="AE807" s="8"/>
      <c r="AF807" s="6"/>
      <c r="AG807" s="6"/>
      <c r="AH807" s="14"/>
      <c r="AI807" s="9"/>
      <c r="AJ807" s="8"/>
      <c r="AK807" s="6"/>
    </row>
    <row r="808" spans="1:37" s="7" customFormat="1" ht="39" customHeight="1" x14ac:dyDescent="0.25">
      <c r="A808" s="13"/>
      <c r="B808" s="12"/>
      <c r="C808" s="11"/>
      <c r="D808" s="11"/>
      <c r="E808" s="6"/>
      <c r="F808" s="10"/>
      <c r="G808" s="10"/>
      <c r="H808" s="10"/>
      <c r="I808" s="10"/>
      <c r="J808" s="10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9"/>
      <c r="AE808" s="8"/>
      <c r="AF808" s="6"/>
      <c r="AG808" s="6"/>
      <c r="AH808" s="6"/>
      <c r="AI808" s="9"/>
      <c r="AJ808" s="8"/>
      <c r="AK808" s="6"/>
    </row>
    <row r="809" spans="1:37" s="7" customFormat="1" ht="39" customHeight="1" x14ac:dyDescent="0.25">
      <c r="A809" s="13"/>
      <c r="B809" s="12"/>
      <c r="C809" s="11"/>
      <c r="D809" s="11"/>
      <c r="E809" s="10"/>
      <c r="F809" s="10"/>
      <c r="G809" s="10"/>
      <c r="H809" s="10"/>
      <c r="I809" s="10"/>
      <c r="J809" s="10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9"/>
      <c r="AE809" s="8"/>
      <c r="AF809" s="6"/>
      <c r="AG809" s="6"/>
      <c r="AH809" s="6"/>
      <c r="AI809" s="9"/>
      <c r="AJ809" s="8"/>
      <c r="AK809" s="6"/>
    </row>
    <row r="810" spans="1:37" s="7" customFormat="1" ht="39" customHeight="1" x14ac:dyDescent="0.25">
      <c r="A810" s="13"/>
      <c r="B810" s="12"/>
      <c r="C810" s="11"/>
      <c r="D810" s="11"/>
      <c r="E810" s="10"/>
      <c r="F810" s="10"/>
      <c r="G810" s="10"/>
      <c r="H810" s="10"/>
      <c r="I810" s="10"/>
      <c r="J810" s="10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9"/>
      <c r="AE810" s="8"/>
      <c r="AF810" s="14"/>
      <c r="AG810" s="6"/>
      <c r="AH810" s="6"/>
      <c r="AI810" s="9"/>
      <c r="AJ810" s="8"/>
      <c r="AK810" s="6"/>
    </row>
    <row r="811" spans="1:37" s="7" customFormat="1" ht="39" customHeight="1" x14ac:dyDescent="0.25">
      <c r="A811" s="13"/>
      <c r="B811" s="12"/>
      <c r="C811" s="11"/>
      <c r="D811" s="11"/>
      <c r="E811" s="10"/>
      <c r="F811" s="10"/>
      <c r="G811" s="10"/>
      <c r="H811" s="10"/>
      <c r="I811" s="10"/>
      <c r="J811" s="10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9"/>
      <c r="AE811" s="8"/>
      <c r="AF811" s="14"/>
      <c r="AG811" s="6"/>
      <c r="AH811" s="14"/>
      <c r="AI811" s="9"/>
      <c r="AJ811" s="8"/>
      <c r="AK811" s="6"/>
    </row>
    <row r="812" spans="1:37" s="7" customFormat="1" ht="39" customHeight="1" x14ac:dyDescent="0.25">
      <c r="A812" s="13"/>
      <c r="B812" s="12"/>
      <c r="C812" s="11"/>
      <c r="D812" s="11"/>
      <c r="E812" s="10"/>
      <c r="F812" s="10"/>
      <c r="G812" s="10"/>
      <c r="H812" s="10"/>
      <c r="I812" s="10"/>
      <c r="J812" s="10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9"/>
      <c r="AE812" s="8"/>
      <c r="AF812" s="14"/>
      <c r="AG812" s="6"/>
      <c r="AH812" s="14"/>
      <c r="AI812" s="9"/>
      <c r="AJ812" s="8"/>
      <c r="AK812" s="6"/>
    </row>
    <row r="813" spans="1:37" s="7" customFormat="1" ht="41.25" customHeight="1" x14ac:dyDescent="0.25">
      <c r="A813" s="13"/>
      <c r="B813" s="12"/>
      <c r="C813" s="11"/>
      <c r="D813" s="11"/>
      <c r="E813" s="6"/>
      <c r="F813" s="10"/>
      <c r="G813" s="10"/>
      <c r="H813" s="10"/>
      <c r="I813" s="10"/>
      <c r="J813" s="10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9"/>
      <c r="AE813" s="8"/>
      <c r="AF813" s="6"/>
      <c r="AG813" s="6"/>
      <c r="AH813" s="14"/>
      <c r="AI813" s="9"/>
      <c r="AJ813" s="8"/>
      <c r="AK813" s="6"/>
    </row>
    <row r="814" spans="1:37" s="7" customFormat="1" ht="39" customHeight="1" x14ac:dyDescent="0.25">
      <c r="A814" s="13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6"/>
      <c r="M814" s="21"/>
      <c r="N814" s="21"/>
      <c r="O814" s="21"/>
      <c r="P814" s="21"/>
      <c r="Q814" s="21"/>
      <c r="R814" s="6"/>
      <c r="S814" s="6"/>
      <c r="T814" s="6"/>
      <c r="U814" s="21"/>
      <c r="V814" s="21"/>
      <c r="W814" s="6"/>
      <c r="X814" s="6"/>
      <c r="Y814" s="6"/>
      <c r="Z814" s="6"/>
      <c r="AA814" s="6"/>
      <c r="AB814" s="6"/>
      <c r="AC814" s="6"/>
      <c r="AD814" s="9"/>
      <c r="AE814" s="8"/>
      <c r="AF814" s="6"/>
      <c r="AG814" s="6"/>
      <c r="AH814" s="6"/>
      <c r="AI814" s="9"/>
      <c r="AJ814" s="8"/>
      <c r="AK814" s="6"/>
    </row>
    <row r="815" spans="1:37" s="7" customFormat="1" ht="39" customHeight="1" x14ac:dyDescent="0.25">
      <c r="A815" s="13"/>
      <c r="B815" s="21"/>
      <c r="C815" s="11"/>
      <c r="D815" s="11"/>
      <c r="E815" s="10"/>
      <c r="F815" s="10"/>
      <c r="G815" s="10"/>
      <c r="H815" s="10"/>
      <c r="I815" s="10"/>
      <c r="J815" s="10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22"/>
      <c r="AD815" s="9"/>
      <c r="AE815" s="8"/>
      <c r="AF815" s="6"/>
      <c r="AG815" s="6"/>
      <c r="AH815" s="6"/>
      <c r="AI815" s="9"/>
      <c r="AJ815" s="8"/>
      <c r="AK815" s="6"/>
    </row>
    <row r="816" spans="1:37" s="7" customFormat="1" ht="39" customHeight="1" x14ac:dyDescent="0.25">
      <c r="A816" s="13"/>
      <c r="B816" s="21"/>
      <c r="C816" s="11"/>
      <c r="D816" s="11"/>
      <c r="E816" s="10"/>
      <c r="F816" s="10"/>
      <c r="G816" s="10"/>
      <c r="H816" s="10"/>
      <c r="I816" s="10"/>
      <c r="J816" s="10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9"/>
      <c r="AE816" s="8"/>
      <c r="AF816" s="14"/>
      <c r="AG816" s="6"/>
      <c r="AH816" s="14"/>
      <c r="AI816" s="9"/>
      <c r="AJ816" s="8"/>
      <c r="AK816" s="6"/>
    </row>
    <row r="817" spans="1:37" s="7" customFormat="1" ht="39" customHeight="1" x14ac:dyDescent="0.25">
      <c r="A817" s="13"/>
      <c r="B817" s="12"/>
      <c r="C817" s="11"/>
      <c r="D817" s="11"/>
      <c r="E817" s="10"/>
      <c r="F817" s="10"/>
      <c r="G817" s="10"/>
      <c r="H817" s="10"/>
      <c r="I817" s="10"/>
      <c r="J817" s="10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9"/>
      <c r="AE817" s="8"/>
      <c r="AF817" s="6"/>
      <c r="AG817" s="6"/>
      <c r="AH817" s="6"/>
      <c r="AI817" s="9"/>
      <c r="AJ817" s="8"/>
      <c r="AK817" s="6"/>
    </row>
    <row r="818" spans="1:37" s="7" customFormat="1" ht="39" customHeight="1" x14ac:dyDescent="0.25">
      <c r="A818" s="13"/>
      <c r="B818" s="12"/>
      <c r="C818" s="11"/>
      <c r="D818" s="11"/>
      <c r="E818" s="10"/>
      <c r="F818" s="10"/>
      <c r="G818" s="10"/>
      <c r="H818" s="10"/>
      <c r="I818" s="10"/>
      <c r="J818" s="10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9"/>
      <c r="AE818" s="8"/>
      <c r="AF818" s="6"/>
      <c r="AG818" s="6"/>
      <c r="AH818" s="6"/>
      <c r="AI818" s="9"/>
      <c r="AJ818" s="8"/>
      <c r="AK818" s="6"/>
    </row>
    <row r="819" spans="1:37" s="7" customFormat="1" ht="39" customHeight="1" x14ac:dyDescent="0.25">
      <c r="A819" s="13"/>
      <c r="B819" s="12"/>
      <c r="C819" s="11"/>
      <c r="D819" s="11"/>
      <c r="E819" s="10"/>
      <c r="F819" s="10"/>
      <c r="G819" s="10"/>
      <c r="H819" s="10"/>
      <c r="I819" s="10"/>
      <c r="J819" s="10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9"/>
      <c r="AE819" s="8"/>
      <c r="AF819" s="6"/>
      <c r="AG819" s="6"/>
      <c r="AH819" s="14"/>
      <c r="AI819" s="9"/>
      <c r="AJ819" s="8"/>
      <c r="AK819" s="6"/>
    </row>
    <row r="820" spans="1:37" s="7" customFormat="1" ht="39" customHeight="1" x14ac:dyDescent="0.25">
      <c r="A820" s="13"/>
      <c r="B820" s="12"/>
      <c r="C820" s="11"/>
      <c r="D820" s="11"/>
      <c r="E820" s="10"/>
      <c r="F820" s="10"/>
      <c r="G820" s="10"/>
      <c r="H820" s="10"/>
      <c r="I820" s="10"/>
      <c r="J820" s="10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9"/>
      <c r="AE820" s="8"/>
      <c r="AF820" s="6"/>
      <c r="AG820" s="6"/>
      <c r="AH820" s="6"/>
      <c r="AI820" s="9"/>
      <c r="AJ820" s="8"/>
      <c r="AK820" s="6"/>
    </row>
    <row r="821" spans="1:37" s="7" customFormat="1" ht="39" customHeight="1" x14ac:dyDescent="0.25">
      <c r="A821" s="13"/>
      <c r="B821" s="12"/>
      <c r="C821" s="11"/>
      <c r="D821" s="11"/>
      <c r="E821" s="10"/>
      <c r="F821" s="10"/>
      <c r="G821" s="10"/>
      <c r="H821" s="10"/>
      <c r="I821" s="10"/>
      <c r="J821" s="10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9"/>
      <c r="AE821" s="8"/>
      <c r="AF821" s="14"/>
      <c r="AG821" s="6"/>
      <c r="AH821" s="14"/>
      <c r="AI821" s="9"/>
      <c r="AJ821" s="8"/>
      <c r="AK821" s="6"/>
    </row>
    <row r="822" spans="1:37" s="7" customFormat="1" ht="39" customHeight="1" x14ac:dyDescent="0.25">
      <c r="A822" s="13"/>
      <c r="B822" s="12"/>
      <c r="C822" s="11"/>
      <c r="D822" s="11"/>
      <c r="E822" s="6"/>
      <c r="F822" s="10"/>
      <c r="G822" s="10"/>
      <c r="H822" s="10"/>
      <c r="I822" s="10"/>
      <c r="J822" s="10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9"/>
      <c r="AE822" s="8"/>
      <c r="AF822" s="14"/>
      <c r="AG822" s="6"/>
      <c r="AH822" s="14"/>
      <c r="AI822" s="9"/>
      <c r="AJ822" s="8"/>
      <c r="AK822" s="6"/>
    </row>
    <row r="823" spans="1:37" s="7" customFormat="1" ht="39" customHeight="1" x14ac:dyDescent="0.25">
      <c r="A823" s="13"/>
      <c r="B823" s="12"/>
      <c r="C823" s="11"/>
      <c r="D823" s="11"/>
      <c r="E823" s="6"/>
      <c r="F823" s="10"/>
      <c r="G823" s="10"/>
      <c r="H823" s="10"/>
      <c r="I823" s="10"/>
      <c r="J823" s="10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9"/>
      <c r="AE823" s="8"/>
      <c r="AF823" s="14"/>
      <c r="AG823" s="6"/>
      <c r="AH823" s="14"/>
      <c r="AI823" s="9"/>
      <c r="AJ823" s="8"/>
      <c r="AK823" s="6"/>
    </row>
    <row r="824" spans="1:37" s="7" customFormat="1" ht="39" customHeight="1" x14ac:dyDescent="0.25">
      <c r="A824" s="13"/>
      <c r="B824" s="12"/>
      <c r="C824" s="11"/>
      <c r="D824" s="11"/>
      <c r="E824" s="6"/>
      <c r="F824" s="10"/>
      <c r="G824" s="10"/>
      <c r="H824" s="10"/>
      <c r="I824" s="10"/>
      <c r="J824" s="10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9"/>
      <c r="AE824" s="8"/>
      <c r="AF824" s="14"/>
      <c r="AG824" s="6"/>
      <c r="AH824" s="14"/>
      <c r="AI824" s="9"/>
      <c r="AJ824" s="8"/>
      <c r="AK824" s="6"/>
    </row>
    <row r="825" spans="1:37" s="7" customFormat="1" ht="39" customHeight="1" x14ac:dyDescent="0.25">
      <c r="A825" s="13"/>
      <c r="B825" s="12"/>
      <c r="C825" s="11"/>
      <c r="D825" s="11"/>
      <c r="E825" s="10"/>
      <c r="F825" s="10"/>
      <c r="G825" s="10"/>
      <c r="H825" s="10"/>
      <c r="I825" s="10"/>
      <c r="J825" s="10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9"/>
      <c r="AE825" s="8"/>
      <c r="AF825" s="6"/>
      <c r="AG825" s="6"/>
      <c r="AH825" s="6"/>
      <c r="AI825" s="9"/>
      <c r="AJ825" s="8"/>
      <c r="AK825" s="6"/>
    </row>
    <row r="826" spans="1:37" s="7" customFormat="1" ht="39" customHeight="1" x14ac:dyDescent="0.25">
      <c r="A826" s="13"/>
      <c r="B826" s="12"/>
      <c r="C826" s="11"/>
      <c r="D826" s="11"/>
      <c r="E826" s="10"/>
      <c r="F826" s="10"/>
      <c r="G826" s="10"/>
      <c r="H826" s="10"/>
      <c r="I826" s="10"/>
      <c r="J826" s="10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9"/>
      <c r="AE826" s="8"/>
      <c r="AF826" s="14"/>
      <c r="AG826" s="6"/>
      <c r="AH826" s="14"/>
      <c r="AI826" s="9"/>
      <c r="AJ826" s="8"/>
      <c r="AK826" s="6"/>
    </row>
    <row r="827" spans="1:37" s="7" customFormat="1" ht="39" customHeight="1" x14ac:dyDescent="0.25">
      <c r="A827" s="13"/>
      <c r="B827" s="12"/>
      <c r="C827" s="11"/>
      <c r="D827" s="11"/>
      <c r="E827" s="6"/>
      <c r="F827" s="10"/>
      <c r="G827" s="10"/>
      <c r="H827" s="10"/>
      <c r="I827" s="10"/>
      <c r="J827" s="10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9"/>
      <c r="AE827" s="8"/>
      <c r="AF827" s="6"/>
      <c r="AG827" s="6"/>
      <c r="AH827" s="6"/>
      <c r="AI827" s="9"/>
      <c r="AJ827" s="8"/>
      <c r="AK827" s="6"/>
    </row>
    <row r="828" spans="1:37" s="7" customFormat="1" ht="39" customHeight="1" x14ac:dyDescent="0.25">
      <c r="A828" s="13"/>
      <c r="B828" s="21"/>
      <c r="C828" s="21"/>
      <c r="D828" s="21"/>
      <c r="E828" s="10"/>
      <c r="F828" s="10"/>
      <c r="G828" s="10"/>
      <c r="H828" s="10"/>
      <c r="I828" s="10"/>
      <c r="J828" s="10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9"/>
      <c r="AE828" s="8"/>
      <c r="AF828" s="14"/>
      <c r="AG828" s="6"/>
      <c r="AH828" s="14"/>
      <c r="AI828" s="9"/>
      <c r="AJ828" s="8"/>
      <c r="AK828" s="6"/>
    </row>
    <row r="829" spans="1:37" s="7" customFormat="1" ht="39" customHeight="1" x14ac:dyDescent="0.25">
      <c r="A829" s="13"/>
      <c r="B829" s="21"/>
      <c r="C829" s="11"/>
      <c r="D829" s="11"/>
      <c r="E829" s="10"/>
      <c r="F829" s="10"/>
      <c r="G829" s="10"/>
      <c r="H829" s="10"/>
      <c r="I829" s="10"/>
      <c r="J829" s="10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9"/>
      <c r="AE829" s="8"/>
      <c r="AF829" s="6"/>
      <c r="AG829" s="6"/>
      <c r="AH829" s="6"/>
      <c r="AI829" s="9"/>
      <c r="AJ829" s="8"/>
      <c r="AK829" s="6"/>
    </row>
    <row r="830" spans="1:37" s="7" customFormat="1" ht="39" customHeight="1" x14ac:dyDescent="0.25">
      <c r="A830" s="13"/>
      <c r="B830" s="12"/>
      <c r="C830" s="11"/>
      <c r="D830" s="11"/>
      <c r="E830" s="10"/>
      <c r="F830" s="10"/>
      <c r="G830" s="10"/>
      <c r="H830" s="10"/>
      <c r="I830" s="10"/>
      <c r="J830" s="10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9"/>
      <c r="AE830" s="8"/>
      <c r="AF830" s="6"/>
      <c r="AG830" s="6"/>
      <c r="AH830" s="6"/>
      <c r="AI830" s="9"/>
      <c r="AJ830" s="8"/>
      <c r="AK830" s="6"/>
    </row>
    <row r="831" spans="1:37" s="7" customFormat="1" ht="39" customHeight="1" x14ac:dyDescent="0.25">
      <c r="A831" s="13"/>
      <c r="B831" s="12"/>
      <c r="C831" s="11"/>
      <c r="D831" s="11"/>
      <c r="E831" s="10"/>
      <c r="F831" s="10"/>
      <c r="G831" s="10"/>
      <c r="H831" s="10"/>
      <c r="I831" s="10"/>
      <c r="J831" s="10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9"/>
      <c r="AE831" s="8"/>
      <c r="AF831" s="6"/>
      <c r="AG831" s="6"/>
      <c r="AH831" s="6"/>
      <c r="AI831" s="9"/>
      <c r="AJ831" s="8"/>
      <c r="AK831" s="6"/>
    </row>
    <row r="832" spans="1:37" s="7" customFormat="1" ht="39" customHeight="1" x14ac:dyDescent="0.25">
      <c r="A832" s="13"/>
      <c r="B832" s="12"/>
      <c r="C832" s="11"/>
      <c r="D832" s="11"/>
      <c r="E832" s="10"/>
      <c r="F832" s="10"/>
      <c r="G832" s="10"/>
      <c r="H832" s="10"/>
      <c r="I832" s="10"/>
      <c r="J832" s="10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9"/>
      <c r="AE832" s="8"/>
      <c r="AF832" s="14"/>
      <c r="AG832" s="6"/>
      <c r="AH832" s="14"/>
      <c r="AI832" s="9"/>
      <c r="AJ832" s="8"/>
      <c r="AK832" s="6"/>
    </row>
    <row r="833" spans="1:37" s="7" customFormat="1" ht="39" customHeight="1" x14ac:dyDescent="0.25">
      <c r="A833" s="13"/>
      <c r="B833" s="12"/>
      <c r="C833" s="11"/>
      <c r="D833" s="11"/>
      <c r="E833" s="10"/>
      <c r="F833" s="10"/>
      <c r="G833" s="10"/>
      <c r="H833" s="10"/>
      <c r="I833" s="10"/>
      <c r="J833" s="10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9"/>
      <c r="AE833" s="8"/>
      <c r="AF833" s="6"/>
      <c r="AG833" s="6"/>
      <c r="AH833" s="6"/>
      <c r="AI833" s="9"/>
      <c r="AJ833" s="8"/>
      <c r="AK833" s="6"/>
    </row>
    <row r="834" spans="1:37" s="7" customFormat="1" ht="39" customHeight="1" x14ac:dyDescent="0.25">
      <c r="A834" s="13"/>
      <c r="B834" s="12"/>
      <c r="C834" s="11"/>
      <c r="D834" s="11"/>
      <c r="E834" s="6"/>
      <c r="F834" s="10"/>
      <c r="G834" s="10"/>
      <c r="H834" s="10"/>
      <c r="I834" s="10"/>
      <c r="J834" s="10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9"/>
      <c r="AE834" s="8"/>
      <c r="AF834" s="6"/>
      <c r="AG834" s="6"/>
      <c r="AH834" s="6"/>
      <c r="AI834" s="9"/>
      <c r="AJ834" s="8"/>
      <c r="AK834" s="6"/>
    </row>
    <row r="835" spans="1:37" s="7" customFormat="1" ht="39" customHeight="1" x14ac:dyDescent="0.25">
      <c r="A835" s="13"/>
      <c r="B835" s="12"/>
      <c r="C835" s="11"/>
      <c r="D835" s="11"/>
      <c r="E835" s="10"/>
      <c r="F835" s="10"/>
      <c r="G835" s="10"/>
      <c r="H835" s="10"/>
      <c r="I835" s="10"/>
      <c r="J835" s="10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9"/>
      <c r="AE835" s="8"/>
      <c r="AF835" s="6"/>
      <c r="AG835" s="6"/>
      <c r="AH835" s="6"/>
      <c r="AI835" s="9"/>
      <c r="AJ835" s="8"/>
      <c r="AK835" s="6"/>
    </row>
    <row r="836" spans="1:37" s="7" customFormat="1" ht="39" customHeight="1" x14ac:dyDescent="0.25">
      <c r="A836" s="13"/>
      <c r="B836" s="12"/>
      <c r="C836" s="11"/>
      <c r="D836" s="11"/>
      <c r="E836" s="10"/>
      <c r="F836" s="10"/>
      <c r="G836" s="10"/>
      <c r="H836" s="10"/>
      <c r="I836" s="10"/>
      <c r="J836" s="10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9"/>
      <c r="AE836" s="8"/>
      <c r="AF836" s="14"/>
      <c r="AG836" s="6"/>
      <c r="AH836" s="14"/>
      <c r="AI836" s="9"/>
      <c r="AJ836" s="8"/>
      <c r="AK836" s="6"/>
    </row>
    <row r="837" spans="1:37" s="7" customFormat="1" ht="39" customHeight="1" x14ac:dyDescent="0.25">
      <c r="A837" s="13"/>
      <c r="B837" s="12"/>
      <c r="C837" s="11"/>
      <c r="D837" s="11"/>
      <c r="E837" s="10"/>
      <c r="F837" s="10"/>
      <c r="G837" s="10"/>
      <c r="H837" s="10"/>
      <c r="I837" s="10"/>
      <c r="J837" s="10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9"/>
      <c r="AE837" s="8"/>
      <c r="AF837" s="14"/>
      <c r="AG837" s="6"/>
      <c r="AH837" s="14"/>
      <c r="AI837" s="9"/>
      <c r="AJ837" s="8"/>
      <c r="AK837" s="6"/>
    </row>
    <row r="838" spans="1:37" s="7" customFormat="1" ht="39" customHeight="1" x14ac:dyDescent="0.25">
      <c r="A838" s="13"/>
      <c r="B838" s="12"/>
      <c r="C838" s="11"/>
      <c r="D838" s="11"/>
      <c r="E838" s="10"/>
      <c r="F838" s="10"/>
      <c r="G838" s="10"/>
      <c r="H838" s="10"/>
      <c r="I838" s="10"/>
      <c r="J838" s="10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9"/>
      <c r="AE838" s="8"/>
      <c r="AF838" s="14"/>
      <c r="AG838" s="6"/>
      <c r="AH838" s="14"/>
      <c r="AI838" s="9"/>
      <c r="AJ838" s="8"/>
      <c r="AK838" s="6"/>
    </row>
    <row r="839" spans="1:37" s="7" customFormat="1" ht="39" customHeight="1" x14ac:dyDescent="0.25">
      <c r="A839" s="13"/>
      <c r="B839" s="12"/>
      <c r="C839" s="11"/>
      <c r="D839" s="11"/>
      <c r="E839" s="6"/>
      <c r="F839" s="10"/>
      <c r="G839" s="10"/>
      <c r="H839" s="10"/>
      <c r="I839" s="10"/>
      <c r="J839" s="10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9"/>
      <c r="AE839" s="8"/>
      <c r="AF839" s="6"/>
      <c r="AG839" s="6"/>
      <c r="AH839" s="6"/>
      <c r="AI839" s="9"/>
      <c r="AJ839" s="8"/>
      <c r="AK839" s="6"/>
    </row>
    <row r="840" spans="1:37" s="7" customFormat="1" ht="39" customHeight="1" x14ac:dyDescent="0.25">
      <c r="A840" s="20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5"/>
      <c r="M840" s="19"/>
      <c r="N840" s="19"/>
      <c r="O840" s="19"/>
      <c r="P840" s="19"/>
      <c r="Q840" s="19"/>
      <c r="R840" s="15"/>
      <c r="S840" s="15"/>
      <c r="T840" s="15"/>
      <c r="U840" s="19"/>
      <c r="V840" s="19"/>
      <c r="W840" s="15"/>
      <c r="X840" s="15"/>
      <c r="Y840" s="15"/>
      <c r="Z840" s="15"/>
      <c r="AA840" s="15"/>
      <c r="AB840" s="15"/>
      <c r="AC840" s="15"/>
      <c r="AD840" s="17"/>
      <c r="AE840" s="16"/>
      <c r="AF840" s="15"/>
      <c r="AG840" s="15"/>
      <c r="AH840" s="15"/>
      <c r="AI840" s="17"/>
      <c r="AJ840" s="16"/>
      <c r="AK840" s="15"/>
    </row>
    <row r="841" spans="1:37" s="7" customFormat="1" ht="39" customHeight="1" x14ac:dyDescent="0.25">
      <c r="A841" s="13"/>
      <c r="B841" s="21"/>
      <c r="C841" s="11"/>
      <c r="D841" s="11"/>
      <c r="E841" s="10"/>
      <c r="F841" s="10"/>
      <c r="G841" s="10"/>
      <c r="H841" s="10"/>
      <c r="I841" s="10"/>
      <c r="J841" s="10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22"/>
      <c r="AD841" s="9"/>
      <c r="AE841" s="8"/>
      <c r="AF841" s="6"/>
      <c r="AG841" s="6"/>
      <c r="AH841" s="6"/>
      <c r="AI841" s="9"/>
      <c r="AJ841" s="8"/>
      <c r="AK841" s="6"/>
    </row>
    <row r="842" spans="1:37" s="7" customFormat="1" ht="39" customHeight="1" x14ac:dyDescent="0.25">
      <c r="A842" s="13"/>
      <c r="B842" s="21"/>
      <c r="C842" s="11"/>
      <c r="D842" s="11"/>
      <c r="E842" s="10"/>
      <c r="F842" s="10"/>
      <c r="G842" s="10"/>
      <c r="H842" s="10"/>
      <c r="I842" s="10"/>
      <c r="J842" s="10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9"/>
      <c r="AE842" s="8"/>
      <c r="AF842" s="14"/>
      <c r="AG842" s="6"/>
      <c r="AH842" s="14"/>
      <c r="AI842" s="9"/>
      <c r="AJ842" s="8"/>
      <c r="AK842" s="6"/>
    </row>
    <row r="843" spans="1:37" s="7" customFormat="1" ht="39" customHeight="1" x14ac:dyDescent="0.25">
      <c r="A843" s="13"/>
      <c r="B843" s="12"/>
      <c r="C843" s="11"/>
      <c r="D843" s="11"/>
      <c r="E843" s="10"/>
      <c r="F843" s="10"/>
      <c r="G843" s="10"/>
      <c r="H843" s="10"/>
      <c r="I843" s="10"/>
      <c r="J843" s="10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9"/>
      <c r="AE843" s="8"/>
      <c r="AF843" s="6"/>
      <c r="AG843" s="6"/>
      <c r="AH843" s="6"/>
      <c r="AI843" s="9"/>
      <c r="AJ843" s="8"/>
      <c r="AK843" s="6"/>
    </row>
    <row r="844" spans="1:37" s="7" customFormat="1" ht="39" customHeight="1" x14ac:dyDescent="0.25">
      <c r="A844" s="13"/>
      <c r="B844" s="12"/>
      <c r="C844" s="11"/>
      <c r="D844" s="11"/>
      <c r="E844" s="10"/>
      <c r="F844" s="10"/>
      <c r="G844" s="10"/>
      <c r="H844" s="10"/>
      <c r="I844" s="10"/>
      <c r="J844" s="10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9"/>
      <c r="AE844" s="8"/>
      <c r="AF844" s="6"/>
      <c r="AG844" s="6"/>
      <c r="AH844" s="6"/>
      <c r="AI844" s="9"/>
      <c r="AJ844" s="8"/>
      <c r="AK844" s="6"/>
    </row>
    <row r="845" spans="1:37" s="7" customFormat="1" ht="39" customHeight="1" x14ac:dyDescent="0.25">
      <c r="A845" s="13"/>
      <c r="B845" s="12"/>
      <c r="C845" s="11"/>
      <c r="D845" s="11"/>
      <c r="E845" s="10"/>
      <c r="F845" s="10"/>
      <c r="G845" s="10"/>
      <c r="H845" s="10"/>
      <c r="I845" s="10"/>
      <c r="J845" s="10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9"/>
      <c r="AE845" s="8"/>
      <c r="AF845" s="6"/>
      <c r="AG845" s="6"/>
      <c r="AH845" s="14"/>
      <c r="AI845" s="9"/>
      <c r="AJ845" s="8"/>
      <c r="AK845" s="6"/>
    </row>
    <row r="846" spans="1:37" s="7" customFormat="1" ht="39" customHeight="1" x14ac:dyDescent="0.25">
      <c r="A846" s="13"/>
      <c r="B846" s="12"/>
      <c r="C846" s="11"/>
      <c r="D846" s="11"/>
      <c r="E846" s="10"/>
      <c r="F846" s="10"/>
      <c r="G846" s="10"/>
      <c r="H846" s="10"/>
      <c r="I846" s="10"/>
      <c r="J846" s="10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9"/>
      <c r="AE846" s="8"/>
      <c r="AF846" s="6"/>
      <c r="AG846" s="6"/>
      <c r="AH846" s="6"/>
      <c r="AI846" s="9"/>
      <c r="AJ846" s="8"/>
      <c r="AK846" s="6"/>
    </row>
    <row r="847" spans="1:37" s="7" customFormat="1" ht="39" customHeight="1" x14ac:dyDescent="0.25">
      <c r="A847" s="13"/>
      <c r="B847" s="12"/>
      <c r="C847" s="11"/>
      <c r="D847" s="11"/>
      <c r="E847" s="10"/>
      <c r="F847" s="10"/>
      <c r="G847" s="10"/>
      <c r="H847" s="10"/>
      <c r="I847" s="10"/>
      <c r="J847" s="10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9"/>
      <c r="AE847" s="8"/>
      <c r="AF847" s="14"/>
      <c r="AG847" s="6"/>
      <c r="AH847" s="14"/>
      <c r="AI847" s="9"/>
      <c r="AJ847" s="8"/>
      <c r="AK847" s="6"/>
    </row>
    <row r="848" spans="1:37" s="7" customFormat="1" ht="39" customHeight="1" x14ac:dyDescent="0.25">
      <c r="A848" s="13"/>
      <c r="B848" s="12"/>
      <c r="C848" s="11"/>
      <c r="D848" s="11"/>
      <c r="E848" s="10"/>
      <c r="F848" s="10"/>
      <c r="G848" s="10"/>
      <c r="H848" s="10"/>
      <c r="I848" s="10"/>
      <c r="J848" s="10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9"/>
      <c r="AE848" s="8"/>
      <c r="AF848" s="14"/>
      <c r="AG848" s="6"/>
      <c r="AH848" s="14"/>
      <c r="AI848" s="9"/>
      <c r="AJ848" s="8"/>
      <c r="AK848" s="6"/>
    </row>
    <row r="849" spans="1:37" s="7" customFormat="1" ht="39" customHeight="1" x14ac:dyDescent="0.25">
      <c r="A849" s="13"/>
      <c r="B849" s="12"/>
      <c r="C849" s="11"/>
      <c r="D849" s="11"/>
      <c r="E849" s="10"/>
      <c r="F849" s="10"/>
      <c r="G849" s="10"/>
      <c r="H849" s="10"/>
      <c r="I849" s="10"/>
      <c r="J849" s="10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9"/>
      <c r="AE849" s="8"/>
      <c r="AF849" s="6"/>
      <c r="AG849" s="6"/>
      <c r="AH849" s="6"/>
      <c r="AI849" s="9"/>
      <c r="AJ849" s="8"/>
      <c r="AK849" s="6"/>
    </row>
    <row r="850" spans="1:37" s="7" customFormat="1" ht="39" customHeight="1" x14ac:dyDescent="0.25">
      <c r="A850" s="13"/>
      <c r="B850" s="12"/>
      <c r="C850" s="11"/>
      <c r="D850" s="11"/>
      <c r="E850" s="6"/>
      <c r="F850" s="10"/>
      <c r="G850" s="10"/>
      <c r="H850" s="10"/>
      <c r="I850" s="10"/>
      <c r="J850" s="10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9"/>
      <c r="AE850" s="8"/>
      <c r="AF850" s="14"/>
      <c r="AG850" s="6"/>
      <c r="AH850" s="14"/>
      <c r="AI850" s="9"/>
      <c r="AJ850" s="8"/>
      <c r="AK850" s="6"/>
    </row>
    <row r="851" spans="1:37" s="7" customFormat="1" ht="39" customHeight="1" x14ac:dyDescent="0.25">
      <c r="A851" s="13"/>
      <c r="B851" s="12"/>
      <c r="C851" s="11"/>
      <c r="D851" s="11"/>
      <c r="E851" s="10"/>
      <c r="F851" s="10"/>
      <c r="G851" s="10"/>
      <c r="H851" s="10"/>
      <c r="I851" s="10"/>
      <c r="J851" s="10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9"/>
      <c r="AE851" s="8"/>
      <c r="AF851" s="6"/>
      <c r="AG851" s="6"/>
      <c r="AH851" s="6"/>
      <c r="AI851" s="9"/>
      <c r="AJ851" s="8"/>
      <c r="AK851" s="6"/>
    </row>
    <row r="852" spans="1:37" s="7" customFormat="1" ht="39" customHeight="1" x14ac:dyDescent="0.25">
      <c r="A852" s="13"/>
      <c r="B852" s="12"/>
      <c r="C852" s="11"/>
      <c r="D852" s="11"/>
      <c r="E852" s="10"/>
      <c r="F852" s="10"/>
      <c r="G852" s="10"/>
      <c r="H852" s="10"/>
      <c r="I852" s="10"/>
      <c r="J852" s="10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9"/>
      <c r="AE852" s="8"/>
      <c r="AF852" s="14"/>
      <c r="AG852" s="6"/>
      <c r="AH852" s="14"/>
      <c r="AI852" s="9"/>
      <c r="AJ852" s="8"/>
      <c r="AK852" s="6"/>
    </row>
    <row r="853" spans="1:37" s="7" customFormat="1" ht="39" customHeight="1" x14ac:dyDescent="0.25">
      <c r="A853" s="13"/>
      <c r="B853" s="12"/>
      <c r="C853" s="11"/>
      <c r="D853" s="11"/>
      <c r="E853" s="6"/>
      <c r="F853" s="10"/>
      <c r="G853" s="10"/>
      <c r="H853" s="10"/>
      <c r="I853" s="10"/>
      <c r="J853" s="10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9"/>
      <c r="AE853" s="8"/>
      <c r="AF853" s="6"/>
      <c r="AG853" s="6"/>
      <c r="AH853" s="6"/>
      <c r="AI853" s="9"/>
      <c r="AJ853" s="8"/>
      <c r="AK853" s="6"/>
    </row>
    <row r="854" spans="1:37" s="7" customFormat="1" ht="39" customHeight="1" x14ac:dyDescent="0.25">
      <c r="A854" s="13"/>
      <c r="B854" s="12"/>
      <c r="C854" s="11"/>
      <c r="D854" s="11"/>
      <c r="E854" s="10"/>
      <c r="F854" s="10"/>
      <c r="G854" s="10"/>
      <c r="H854" s="10"/>
      <c r="I854" s="10"/>
      <c r="J854" s="10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9"/>
      <c r="AE854" s="8"/>
      <c r="AF854" s="14"/>
      <c r="AG854" s="6"/>
      <c r="AH854" s="14"/>
      <c r="AI854" s="9"/>
      <c r="AJ854" s="8"/>
      <c r="AK854" s="6"/>
    </row>
    <row r="855" spans="1:37" s="7" customFormat="1" ht="39" customHeight="1" x14ac:dyDescent="0.25">
      <c r="A855" s="13"/>
      <c r="B855" s="21"/>
      <c r="C855" s="11"/>
      <c r="D855" s="11"/>
      <c r="E855" s="10"/>
      <c r="F855" s="10"/>
      <c r="G855" s="10"/>
      <c r="H855" s="10"/>
      <c r="I855" s="10"/>
      <c r="J855" s="10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9"/>
      <c r="AE855" s="8"/>
      <c r="AF855" s="6"/>
      <c r="AG855" s="6"/>
      <c r="AH855" s="6"/>
      <c r="AI855" s="9"/>
      <c r="AJ855" s="8"/>
      <c r="AK855" s="6"/>
    </row>
    <row r="856" spans="1:37" s="7" customFormat="1" ht="39" customHeight="1" x14ac:dyDescent="0.25">
      <c r="A856" s="13"/>
      <c r="B856" s="12"/>
      <c r="C856" s="11"/>
      <c r="D856" s="11"/>
      <c r="E856" s="10"/>
      <c r="F856" s="10"/>
      <c r="G856" s="10"/>
      <c r="H856" s="10"/>
      <c r="I856" s="10"/>
      <c r="J856" s="10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9"/>
      <c r="AE856" s="8"/>
      <c r="AF856" s="6"/>
      <c r="AG856" s="6"/>
      <c r="AH856" s="6"/>
      <c r="AI856" s="9"/>
      <c r="AJ856" s="8"/>
      <c r="AK856" s="6"/>
    </row>
    <row r="857" spans="1:37" s="7" customFormat="1" ht="39" customHeight="1" x14ac:dyDescent="0.25">
      <c r="A857" s="13"/>
      <c r="B857" s="12"/>
      <c r="C857" s="11"/>
      <c r="D857" s="11"/>
      <c r="E857" s="10"/>
      <c r="F857" s="10"/>
      <c r="G857" s="10"/>
      <c r="H857" s="10"/>
      <c r="I857" s="10"/>
      <c r="J857" s="10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9"/>
      <c r="AE857" s="8"/>
      <c r="AF857" s="14"/>
      <c r="AG857" s="6"/>
      <c r="AH857" s="14"/>
      <c r="AI857" s="9"/>
      <c r="AJ857" s="8"/>
      <c r="AK857" s="6"/>
    </row>
    <row r="858" spans="1:37" s="7" customFormat="1" ht="39" customHeight="1" x14ac:dyDescent="0.25">
      <c r="A858" s="13"/>
      <c r="B858" s="12"/>
      <c r="C858" s="11"/>
      <c r="D858" s="11"/>
      <c r="E858" s="10"/>
      <c r="F858" s="10"/>
      <c r="G858" s="10"/>
      <c r="H858" s="10"/>
      <c r="I858" s="10"/>
      <c r="J858" s="10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9"/>
      <c r="AE858" s="8"/>
      <c r="AF858" s="6"/>
      <c r="AG858" s="6"/>
      <c r="AH858" s="6"/>
      <c r="AI858" s="9"/>
      <c r="AJ858" s="8"/>
      <c r="AK858" s="6"/>
    </row>
    <row r="859" spans="1:37" s="7" customFormat="1" ht="39" customHeight="1" x14ac:dyDescent="0.25">
      <c r="A859" s="13"/>
      <c r="B859" s="12"/>
      <c r="C859" s="11"/>
      <c r="D859" s="11"/>
      <c r="E859" s="10"/>
      <c r="F859" s="10"/>
      <c r="G859" s="10"/>
      <c r="H859" s="10"/>
      <c r="I859" s="10"/>
      <c r="J859" s="10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9"/>
      <c r="AE859" s="8"/>
      <c r="AF859" s="14"/>
      <c r="AG859" s="6"/>
      <c r="AH859" s="14"/>
      <c r="AI859" s="9"/>
      <c r="AJ859" s="8"/>
      <c r="AK859" s="6"/>
    </row>
    <row r="860" spans="1:37" s="7" customFormat="1" ht="39" customHeight="1" x14ac:dyDescent="0.25">
      <c r="A860" s="13"/>
      <c r="B860" s="12"/>
      <c r="C860" s="11"/>
      <c r="D860" s="11"/>
      <c r="E860" s="6"/>
      <c r="F860" s="6"/>
      <c r="G860" s="10"/>
      <c r="H860" s="10"/>
      <c r="I860" s="10"/>
      <c r="J860" s="10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9"/>
      <c r="AE860" s="8"/>
      <c r="AF860" s="6"/>
      <c r="AG860" s="6"/>
      <c r="AH860" s="6"/>
      <c r="AI860" s="9"/>
      <c r="AJ860" s="8"/>
      <c r="AK860" s="6"/>
    </row>
    <row r="861" spans="1:37" s="7" customFormat="1" ht="39" customHeight="1" x14ac:dyDescent="0.25">
      <c r="A861" s="13"/>
      <c r="B861" s="12"/>
      <c r="C861" s="11"/>
      <c r="D861" s="11"/>
      <c r="E861" s="10"/>
      <c r="F861" s="10"/>
      <c r="G861" s="10"/>
      <c r="H861" s="10"/>
      <c r="I861" s="10"/>
      <c r="J861" s="10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9"/>
      <c r="AE861" s="8"/>
      <c r="AF861" s="6"/>
      <c r="AG861" s="6"/>
      <c r="AH861" s="6"/>
      <c r="AI861" s="9"/>
      <c r="AJ861" s="8"/>
      <c r="AK861" s="6"/>
    </row>
    <row r="862" spans="1:37" s="7" customFormat="1" ht="39" customHeight="1" x14ac:dyDescent="0.25">
      <c r="A862" s="13"/>
      <c r="B862" s="12"/>
      <c r="C862" s="11"/>
      <c r="D862" s="11"/>
      <c r="E862" s="10"/>
      <c r="F862" s="10"/>
      <c r="G862" s="10"/>
      <c r="H862" s="10"/>
      <c r="I862" s="10"/>
      <c r="J862" s="10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9"/>
      <c r="AE862" s="8"/>
      <c r="AF862" s="6"/>
      <c r="AG862" s="6"/>
      <c r="AH862" s="6"/>
      <c r="AI862" s="9"/>
      <c r="AJ862" s="8"/>
      <c r="AK862" s="6"/>
    </row>
    <row r="863" spans="1:37" s="7" customFormat="1" ht="39" customHeight="1" x14ac:dyDescent="0.25">
      <c r="A863" s="13"/>
      <c r="B863" s="12"/>
      <c r="C863" s="11"/>
      <c r="D863" s="11"/>
      <c r="E863" s="10"/>
      <c r="F863" s="10"/>
      <c r="G863" s="10"/>
      <c r="H863" s="10"/>
      <c r="I863" s="10"/>
      <c r="J863" s="10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9"/>
      <c r="AE863" s="8"/>
      <c r="AF863" s="14"/>
      <c r="AG863" s="6"/>
      <c r="AH863" s="14"/>
      <c r="AI863" s="9"/>
      <c r="AJ863" s="8"/>
      <c r="AK863" s="6"/>
    </row>
    <row r="864" spans="1:37" s="7" customFormat="1" ht="39" customHeight="1" x14ac:dyDescent="0.25">
      <c r="A864" s="13"/>
      <c r="B864" s="12"/>
      <c r="C864" s="11"/>
      <c r="D864" s="11"/>
      <c r="E864" s="10"/>
      <c r="F864" s="10"/>
      <c r="G864" s="10"/>
      <c r="H864" s="10"/>
      <c r="I864" s="10"/>
      <c r="J864" s="10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9"/>
      <c r="AE864" s="8"/>
      <c r="AF864" s="14"/>
      <c r="AG864" s="6"/>
      <c r="AH864" s="14"/>
      <c r="AI864" s="9"/>
      <c r="AJ864" s="8"/>
      <c r="AK864" s="6"/>
    </row>
    <row r="865" spans="1:37" s="7" customFormat="1" ht="39" customHeight="1" x14ac:dyDescent="0.25">
      <c r="A865" s="13"/>
      <c r="B865" s="12"/>
      <c r="C865" s="11"/>
      <c r="D865" s="11"/>
      <c r="E865" s="6"/>
      <c r="F865" s="10"/>
      <c r="G865" s="10"/>
      <c r="H865" s="10"/>
      <c r="I865" s="10"/>
      <c r="J865" s="10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9"/>
      <c r="AE865" s="8"/>
      <c r="AF865" s="14"/>
      <c r="AG865" s="6"/>
      <c r="AH865" s="14"/>
      <c r="AI865" s="9"/>
      <c r="AJ865" s="8"/>
      <c r="AK865" s="6"/>
    </row>
    <row r="866" spans="1:37" s="7" customFormat="1" ht="39" customHeight="1" x14ac:dyDescent="0.25">
      <c r="A866" s="13"/>
      <c r="B866" s="12"/>
      <c r="C866" s="11"/>
      <c r="D866" s="11"/>
      <c r="E866" s="10"/>
      <c r="F866" s="10"/>
      <c r="G866" s="10"/>
      <c r="H866" s="10"/>
      <c r="I866" s="10"/>
      <c r="J866" s="10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9"/>
      <c r="AE866" s="8"/>
      <c r="AF866" s="6"/>
      <c r="AG866" s="6"/>
      <c r="AH866" s="6"/>
      <c r="AI866" s="9"/>
      <c r="AJ866" s="8"/>
      <c r="AK866" s="6"/>
    </row>
    <row r="867" spans="1:37" s="7" customFormat="1" ht="39" customHeight="1" x14ac:dyDescent="0.25">
      <c r="A867" s="20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5"/>
      <c r="M867" s="19"/>
      <c r="N867" s="19"/>
      <c r="O867" s="19"/>
      <c r="P867" s="19"/>
      <c r="Q867" s="19"/>
      <c r="R867" s="15"/>
      <c r="S867" s="15"/>
      <c r="T867" s="15"/>
      <c r="U867" s="19"/>
      <c r="V867" s="19"/>
      <c r="W867" s="15"/>
      <c r="X867" s="15"/>
      <c r="Y867" s="15"/>
      <c r="Z867" s="15"/>
      <c r="AA867" s="15"/>
      <c r="AB867" s="15"/>
      <c r="AC867" s="15"/>
      <c r="AD867" s="17"/>
      <c r="AE867" s="16"/>
      <c r="AF867" s="15"/>
      <c r="AG867" s="15"/>
      <c r="AH867" s="15"/>
      <c r="AI867" s="17"/>
      <c r="AJ867" s="16"/>
      <c r="AK867" s="15"/>
    </row>
    <row r="868" spans="1:37" s="7" customFormat="1" ht="39" customHeight="1" x14ac:dyDescent="0.25">
      <c r="A868" s="13"/>
      <c r="B868" s="21"/>
      <c r="C868" s="11"/>
      <c r="D868" s="11"/>
      <c r="E868" s="10"/>
      <c r="F868" s="10"/>
      <c r="G868" s="10"/>
      <c r="H868" s="10"/>
      <c r="I868" s="10"/>
      <c r="J868" s="10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22"/>
      <c r="AD868" s="9"/>
      <c r="AE868" s="8"/>
      <c r="AF868" s="6"/>
      <c r="AG868" s="6"/>
      <c r="AH868" s="6"/>
      <c r="AI868" s="9"/>
      <c r="AJ868" s="8"/>
      <c r="AK868" s="6"/>
    </row>
    <row r="869" spans="1:37" s="7" customFormat="1" ht="39" customHeight="1" x14ac:dyDescent="0.25">
      <c r="A869" s="13"/>
      <c r="B869" s="21"/>
      <c r="C869" s="11"/>
      <c r="D869" s="11"/>
      <c r="E869" s="10"/>
      <c r="F869" s="10"/>
      <c r="G869" s="10"/>
      <c r="H869" s="10"/>
      <c r="I869" s="10"/>
      <c r="J869" s="10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9"/>
      <c r="AE869" s="8"/>
      <c r="AF869" s="14"/>
      <c r="AG869" s="6"/>
      <c r="AH869" s="14"/>
      <c r="AI869" s="9"/>
      <c r="AJ869" s="8"/>
      <c r="AK869" s="6"/>
    </row>
    <row r="870" spans="1:37" s="7" customFormat="1" ht="39" customHeight="1" x14ac:dyDescent="0.25">
      <c r="A870" s="13"/>
      <c r="B870" s="12"/>
      <c r="C870" s="11"/>
      <c r="D870" s="11"/>
      <c r="E870" s="10"/>
      <c r="F870" s="10"/>
      <c r="G870" s="10"/>
      <c r="H870" s="10"/>
      <c r="I870" s="10"/>
      <c r="J870" s="10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9"/>
      <c r="AE870" s="8"/>
      <c r="AF870" s="6"/>
      <c r="AG870" s="6"/>
      <c r="AH870" s="6"/>
      <c r="AI870" s="9"/>
      <c r="AJ870" s="8"/>
      <c r="AK870" s="6"/>
    </row>
    <row r="871" spans="1:37" s="7" customFormat="1" ht="39" customHeight="1" x14ac:dyDescent="0.25">
      <c r="A871" s="13"/>
      <c r="B871" s="12"/>
      <c r="C871" s="11"/>
      <c r="D871" s="11"/>
      <c r="E871" s="10"/>
      <c r="F871" s="10"/>
      <c r="G871" s="10"/>
      <c r="H871" s="10"/>
      <c r="I871" s="10"/>
      <c r="J871" s="10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9"/>
      <c r="AE871" s="8"/>
      <c r="AF871" s="6"/>
      <c r="AG871" s="6"/>
      <c r="AH871" s="6"/>
      <c r="AI871" s="9"/>
      <c r="AJ871" s="8"/>
      <c r="AK871" s="6"/>
    </row>
    <row r="872" spans="1:37" s="7" customFormat="1" ht="39" customHeight="1" x14ac:dyDescent="0.25">
      <c r="A872" s="13"/>
      <c r="B872" s="12"/>
      <c r="C872" s="11"/>
      <c r="D872" s="11"/>
      <c r="E872" s="10"/>
      <c r="F872" s="10"/>
      <c r="G872" s="10"/>
      <c r="H872" s="10"/>
      <c r="I872" s="10"/>
      <c r="J872" s="10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9"/>
      <c r="AE872" s="8"/>
      <c r="AF872" s="6"/>
      <c r="AG872" s="6"/>
      <c r="AH872" s="14"/>
      <c r="AI872" s="9"/>
      <c r="AJ872" s="8"/>
      <c r="AK872" s="6"/>
    </row>
    <row r="873" spans="1:37" s="7" customFormat="1" ht="39" customHeight="1" x14ac:dyDescent="0.25">
      <c r="A873" s="13"/>
      <c r="B873" s="12"/>
      <c r="C873" s="11"/>
      <c r="D873" s="11"/>
      <c r="E873" s="10"/>
      <c r="F873" s="10"/>
      <c r="G873" s="10"/>
      <c r="H873" s="10"/>
      <c r="I873" s="10"/>
      <c r="J873" s="10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9"/>
      <c r="AE873" s="8"/>
      <c r="AF873" s="6"/>
      <c r="AG873" s="6"/>
      <c r="AH873" s="6"/>
      <c r="AI873" s="9"/>
      <c r="AJ873" s="8"/>
      <c r="AK873" s="6"/>
    </row>
    <row r="874" spans="1:37" s="7" customFormat="1" ht="39" customHeight="1" x14ac:dyDescent="0.25">
      <c r="A874" s="13"/>
      <c r="B874" s="12"/>
      <c r="C874" s="11"/>
      <c r="D874" s="11"/>
      <c r="E874" s="10"/>
      <c r="F874" s="10"/>
      <c r="G874" s="10"/>
      <c r="H874" s="10"/>
      <c r="I874" s="10"/>
      <c r="J874" s="10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9"/>
      <c r="AE874" s="8"/>
      <c r="AF874" s="14"/>
      <c r="AG874" s="6"/>
      <c r="AH874" s="14"/>
      <c r="AI874" s="9"/>
      <c r="AJ874" s="8"/>
      <c r="AK874" s="6"/>
    </row>
    <row r="875" spans="1:37" s="7" customFormat="1" ht="39" customHeight="1" x14ac:dyDescent="0.25">
      <c r="A875" s="13"/>
      <c r="B875" s="12"/>
      <c r="C875" s="11"/>
      <c r="D875" s="11"/>
      <c r="E875" s="10"/>
      <c r="F875" s="10"/>
      <c r="G875" s="10"/>
      <c r="H875" s="10"/>
      <c r="I875" s="10"/>
      <c r="J875" s="10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9"/>
      <c r="AE875" s="8"/>
      <c r="AF875" s="14"/>
      <c r="AG875" s="6"/>
      <c r="AH875" s="14"/>
      <c r="AI875" s="9"/>
      <c r="AJ875" s="8"/>
      <c r="AK875" s="6"/>
    </row>
    <row r="876" spans="1:37" s="7" customFormat="1" ht="39" customHeight="1" x14ac:dyDescent="0.25">
      <c r="A876" s="13"/>
      <c r="B876" s="12"/>
      <c r="C876" s="11"/>
      <c r="D876" s="11"/>
      <c r="E876" s="10"/>
      <c r="F876" s="10"/>
      <c r="G876" s="10"/>
      <c r="H876" s="10"/>
      <c r="I876" s="10"/>
      <c r="J876" s="10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9"/>
      <c r="AE876" s="8"/>
      <c r="AF876" s="6"/>
      <c r="AG876" s="6"/>
      <c r="AH876" s="6"/>
      <c r="AI876" s="9"/>
      <c r="AJ876" s="8"/>
      <c r="AK876" s="6"/>
    </row>
    <row r="877" spans="1:37" s="7" customFormat="1" ht="39" customHeight="1" x14ac:dyDescent="0.25">
      <c r="A877" s="13"/>
      <c r="B877" s="12"/>
      <c r="C877" s="11"/>
      <c r="D877" s="11"/>
      <c r="E877" s="6"/>
      <c r="F877" s="10"/>
      <c r="G877" s="10"/>
      <c r="H877" s="10"/>
      <c r="I877" s="10"/>
      <c r="J877" s="10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9"/>
      <c r="AE877" s="8"/>
      <c r="AF877" s="14"/>
      <c r="AG877" s="6"/>
      <c r="AH877" s="14"/>
      <c r="AI877" s="9"/>
      <c r="AJ877" s="8"/>
      <c r="AK877" s="6"/>
    </row>
    <row r="878" spans="1:37" s="7" customFormat="1" ht="39" customHeight="1" x14ac:dyDescent="0.25">
      <c r="A878" s="13"/>
      <c r="B878" s="12"/>
      <c r="C878" s="11"/>
      <c r="D878" s="11"/>
      <c r="E878" s="10"/>
      <c r="F878" s="10"/>
      <c r="G878" s="10"/>
      <c r="H878" s="10"/>
      <c r="I878" s="10"/>
      <c r="J878" s="10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9"/>
      <c r="AE878" s="8"/>
      <c r="AF878" s="6"/>
      <c r="AG878" s="6"/>
      <c r="AH878" s="6"/>
      <c r="AI878" s="9"/>
      <c r="AJ878" s="8"/>
      <c r="AK878" s="6"/>
    </row>
    <row r="879" spans="1:37" s="7" customFormat="1" ht="39" customHeight="1" x14ac:dyDescent="0.25">
      <c r="A879" s="13"/>
      <c r="B879" s="12"/>
      <c r="C879" s="11"/>
      <c r="D879" s="11"/>
      <c r="E879" s="10"/>
      <c r="F879" s="10"/>
      <c r="G879" s="10"/>
      <c r="H879" s="10"/>
      <c r="I879" s="10"/>
      <c r="J879" s="10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9"/>
      <c r="AE879" s="8"/>
      <c r="AF879" s="14"/>
      <c r="AG879" s="6"/>
      <c r="AH879" s="14"/>
      <c r="AI879" s="9"/>
      <c r="AJ879" s="8"/>
      <c r="AK879" s="6"/>
    </row>
    <row r="880" spans="1:37" s="7" customFormat="1" ht="39" customHeight="1" x14ac:dyDescent="0.25">
      <c r="A880" s="13"/>
      <c r="B880" s="12"/>
      <c r="C880" s="11"/>
      <c r="D880" s="11"/>
      <c r="E880" s="6"/>
      <c r="F880" s="10"/>
      <c r="G880" s="10"/>
      <c r="H880" s="10"/>
      <c r="I880" s="10"/>
      <c r="J880" s="10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9"/>
      <c r="AE880" s="8"/>
      <c r="AF880" s="6"/>
      <c r="AG880" s="6"/>
      <c r="AH880" s="6"/>
      <c r="AI880" s="9"/>
      <c r="AJ880" s="8"/>
      <c r="AK880" s="6"/>
    </row>
    <row r="881" spans="1:37" s="7" customFormat="1" ht="39" customHeight="1" x14ac:dyDescent="0.25">
      <c r="A881" s="13"/>
      <c r="B881" s="12"/>
      <c r="C881" s="11"/>
      <c r="D881" s="11"/>
      <c r="E881" s="10"/>
      <c r="F881" s="10"/>
      <c r="G881" s="10"/>
      <c r="H881" s="10"/>
      <c r="I881" s="10"/>
      <c r="J881" s="10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9"/>
      <c r="AE881" s="8"/>
      <c r="AF881" s="14"/>
      <c r="AG881" s="6"/>
      <c r="AH881" s="14"/>
      <c r="AI881" s="9"/>
      <c r="AJ881" s="8"/>
      <c r="AK881" s="6"/>
    </row>
    <row r="882" spans="1:37" s="7" customFormat="1" ht="39" customHeight="1" x14ac:dyDescent="0.25">
      <c r="A882" s="13"/>
      <c r="B882" s="21"/>
      <c r="C882" s="11"/>
      <c r="D882" s="11"/>
      <c r="E882" s="10"/>
      <c r="F882" s="10"/>
      <c r="G882" s="10"/>
      <c r="H882" s="10"/>
      <c r="I882" s="10"/>
      <c r="J882" s="10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9"/>
      <c r="AE882" s="8"/>
      <c r="AF882" s="6"/>
      <c r="AG882" s="6"/>
      <c r="AH882" s="6"/>
      <c r="AI882" s="9"/>
      <c r="AJ882" s="8"/>
      <c r="AK882" s="6"/>
    </row>
    <row r="883" spans="1:37" s="7" customFormat="1" ht="39" customHeight="1" x14ac:dyDescent="0.25">
      <c r="A883" s="13"/>
      <c r="B883" s="12"/>
      <c r="C883" s="11"/>
      <c r="D883" s="11"/>
      <c r="E883" s="10"/>
      <c r="F883" s="10"/>
      <c r="G883" s="10"/>
      <c r="H883" s="10"/>
      <c r="I883" s="10"/>
      <c r="J883" s="10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9"/>
      <c r="AE883" s="8"/>
      <c r="AF883" s="6"/>
      <c r="AG883" s="6"/>
      <c r="AH883" s="6"/>
      <c r="AI883" s="9"/>
      <c r="AJ883" s="8"/>
      <c r="AK883" s="6"/>
    </row>
    <row r="884" spans="1:37" s="7" customFormat="1" ht="39" customHeight="1" x14ac:dyDescent="0.25">
      <c r="A884" s="13"/>
      <c r="B884" s="12"/>
      <c r="C884" s="11"/>
      <c r="D884" s="11"/>
      <c r="E884" s="10"/>
      <c r="F884" s="10"/>
      <c r="G884" s="10"/>
      <c r="H884" s="10"/>
      <c r="I884" s="10"/>
      <c r="J884" s="10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9"/>
      <c r="AE884" s="8"/>
      <c r="AF884" s="14"/>
      <c r="AG884" s="6"/>
      <c r="AH884" s="14"/>
      <c r="AI884" s="9"/>
      <c r="AJ884" s="8"/>
      <c r="AK884" s="6"/>
    </row>
    <row r="885" spans="1:37" s="7" customFormat="1" ht="39" customHeight="1" x14ac:dyDescent="0.25">
      <c r="A885" s="13"/>
      <c r="B885" s="12"/>
      <c r="C885" s="11"/>
      <c r="D885" s="11"/>
      <c r="E885" s="10"/>
      <c r="F885" s="10"/>
      <c r="G885" s="10"/>
      <c r="H885" s="10"/>
      <c r="I885" s="10"/>
      <c r="J885" s="10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9"/>
      <c r="AE885" s="8"/>
      <c r="AF885" s="6"/>
      <c r="AG885" s="6"/>
      <c r="AH885" s="6"/>
      <c r="AI885" s="9"/>
      <c r="AJ885" s="8"/>
      <c r="AK885" s="6"/>
    </row>
    <row r="886" spans="1:37" s="7" customFormat="1" ht="39" customHeight="1" x14ac:dyDescent="0.25">
      <c r="A886" s="13"/>
      <c r="B886" s="12"/>
      <c r="C886" s="11"/>
      <c r="D886" s="11"/>
      <c r="E886" s="10"/>
      <c r="F886" s="10"/>
      <c r="G886" s="10"/>
      <c r="H886" s="10"/>
      <c r="I886" s="10"/>
      <c r="J886" s="10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9"/>
      <c r="AE886" s="8"/>
      <c r="AF886" s="14"/>
      <c r="AG886" s="6"/>
      <c r="AH886" s="14"/>
      <c r="AI886" s="9"/>
      <c r="AJ886" s="8"/>
      <c r="AK886" s="6"/>
    </row>
    <row r="887" spans="1:37" s="7" customFormat="1" ht="39" customHeight="1" x14ac:dyDescent="0.25">
      <c r="A887" s="13"/>
      <c r="B887" s="12"/>
      <c r="C887" s="11"/>
      <c r="D887" s="11"/>
      <c r="E887" s="6"/>
      <c r="F887" s="6"/>
      <c r="G887" s="10"/>
      <c r="H887" s="10"/>
      <c r="I887" s="10"/>
      <c r="J887" s="10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9"/>
      <c r="AE887" s="8"/>
      <c r="AF887" s="6"/>
      <c r="AG887" s="6"/>
      <c r="AH887" s="6"/>
      <c r="AI887" s="9"/>
      <c r="AJ887" s="8"/>
      <c r="AK887" s="6"/>
    </row>
    <row r="888" spans="1:37" s="7" customFormat="1" ht="39" customHeight="1" x14ac:dyDescent="0.25">
      <c r="A888" s="13"/>
      <c r="B888" s="12"/>
      <c r="C888" s="11"/>
      <c r="D888" s="11"/>
      <c r="E888" s="10"/>
      <c r="F888" s="10"/>
      <c r="G888" s="10"/>
      <c r="H888" s="10"/>
      <c r="I888" s="10"/>
      <c r="J888" s="10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9"/>
      <c r="AE888" s="8"/>
      <c r="AF888" s="6"/>
      <c r="AG888" s="6"/>
      <c r="AH888" s="6"/>
      <c r="AI888" s="9"/>
      <c r="AJ888" s="8"/>
      <c r="AK888" s="6"/>
    </row>
    <row r="889" spans="1:37" s="7" customFormat="1" ht="39" customHeight="1" x14ac:dyDescent="0.25">
      <c r="A889" s="13"/>
      <c r="B889" s="12"/>
      <c r="C889" s="11"/>
      <c r="D889" s="11"/>
      <c r="E889" s="10"/>
      <c r="F889" s="10"/>
      <c r="G889" s="10"/>
      <c r="H889" s="10"/>
      <c r="I889" s="10"/>
      <c r="J889" s="10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9"/>
      <c r="AE889" s="8"/>
      <c r="AF889" s="6"/>
      <c r="AG889" s="6"/>
      <c r="AH889" s="6"/>
      <c r="AI889" s="9"/>
      <c r="AJ889" s="8"/>
      <c r="AK889" s="6"/>
    </row>
    <row r="890" spans="1:37" s="7" customFormat="1" ht="39" customHeight="1" x14ac:dyDescent="0.25">
      <c r="A890" s="13"/>
      <c r="B890" s="12"/>
      <c r="C890" s="11"/>
      <c r="D890" s="11"/>
      <c r="E890" s="10"/>
      <c r="F890" s="10"/>
      <c r="G890" s="10"/>
      <c r="H890" s="10"/>
      <c r="I890" s="10"/>
      <c r="J890" s="10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9"/>
      <c r="AE890" s="8"/>
      <c r="AF890" s="14"/>
      <c r="AG890" s="6"/>
      <c r="AH890" s="14"/>
      <c r="AI890" s="9"/>
      <c r="AJ890" s="8"/>
      <c r="AK890" s="6"/>
    </row>
    <row r="891" spans="1:37" s="7" customFormat="1" ht="39" customHeight="1" x14ac:dyDescent="0.25">
      <c r="A891" s="13"/>
      <c r="B891" s="12"/>
      <c r="C891" s="11"/>
      <c r="D891" s="11"/>
      <c r="E891" s="10"/>
      <c r="F891" s="10"/>
      <c r="G891" s="10"/>
      <c r="H891" s="10"/>
      <c r="I891" s="10"/>
      <c r="J891" s="10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9"/>
      <c r="AE891" s="8"/>
      <c r="AF891" s="14"/>
      <c r="AG891" s="6"/>
      <c r="AH891" s="14"/>
      <c r="AI891" s="9"/>
      <c r="AJ891" s="8"/>
      <c r="AK891" s="6"/>
    </row>
    <row r="892" spans="1:37" s="7" customFormat="1" ht="39" customHeight="1" x14ac:dyDescent="0.25">
      <c r="A892" s="13"/>
      <c r="B892" s="12"/>
      <c r="C892" s="11"/>
      <c r="D892" s="11"/>
      <c r="E892" s="6"/>
      <c r="F892" s="10"/>
      <c r="G892" s="10"/>
      <c r="H892" s="10"/>
      <c r="I892" s="10"/>
      <c r="J892" s="10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9"/>
      <c r="AE892" s="8"/>
      <c r="AF892" s="14"/>
      <c r="AG892" s="6"/>
      <c r="AH892" s="14"/>
      <c r="AI892" s="9"/>
      <c r="AJ892" s="8"/>
      <c r="AK892" s="6"/>
    </row>
    <row r="893" spans="1:37" s="7" customFormat="1" ht="39" customHeight="1" x14ac:dyDescent="0.25">
      <c r="A893" s="13"/>
      <c r="B893" s="12"/>
      <c r="C893" s="11"/>
      <c r="D893" s="11"/>
      <c r="E893" s="10"/>
      <c r="F893" s="10"/>
      <c r="G893" s="10"/>
      <c r="H893" s="10"/>
      <c r="I893" s="10"/>
      <c r="J893" s="10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9"/>
      <c r="AE893" s="8"/>
      <c r="AF893" s="6"/>
      <c r="AG893" s="6"/>
      <c r="AH893" s="6"/>
      <c r="AI893" s="9"/>
      <c r="AJ893" s="8"/>
      <c r="AK893" s="6"/>
    </row>
    <row r="894" spans="1:37" s="7" customFormat="1" ht="39" customHeight="1" x14ac:dyDescent="0.25">
      <c r="A894" s="20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5"/>
      <c r="M894" s="19"/>
      <c r="N894" s="19"/>
      <c r="O894" s="19"/>
      <c r="P894" s="19"/>
      <c r="Q894" s="19"/>
      <c r="R894" s="15"/>
      <c r="S894" s="15"/>
      <c r="T894" s="15"/>
      <c r="U894" s="19"/>
      <c r="V894" s="19"/>
      <c r="W894" s="15"/>
      <c r="X894" s="15"/>
      <c r="Y894" s="15"/>
      <c r="Z894" s="15"/>
      <c r="AA894" s="15"/>
      <c r="AB894" s="15"/>
      <c r="AC894" s="15"/>
      <c r="AD894" s="17"/>
      <c r="AE894" s="16"/>
      <c r="AF894" s="15"/>
      <c r="AG894" s="15"/>
      <c r="AH894" s="15"/>
      <c r="AI894" s="17"/>
      <c r="AJ894" s="16"/>
      <c r="AK894" s="15"/>
    </row>
    <row r="895" spans="1:37" s="7" customFormat="1" ht="39" customHeight="1" x14ac:dyDescent="0.25">
      <c r="A895" s="13"/>
      <c r="B895" s="21"/>
      <c r="C895" s="11"/>
      <c r="D895" s="11"/>
      <c r="E895" s="10"/>
      <c r="F895" s="10"/>
      <c r="G895" s="10"/>
      <c r="H895" s="10"/>
      <c r="I895" s="10"/>
      <c r="J895" s="10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22"/>
      <c r="AD895" s="9"/>
      <c r="AE895" s="8"/>
      <c r="AF895" s="6"/>
      <c r="AG895" s="6"/>
      <c r="AH895" s="6"/>
      <c r="AI895" s="9"/>
      <c r="AJ895" s="8"/>
      <c r="AK895" s="6"/>
    </row>
    <row r="896" spans="1:37" s="7" customFormat="1" ht="39" customHeight="1" x14ac:dyDescent="0.25">
      <c r="A896" s="13"/>
      <c r="B896" s="21"/>
      <c r="C896" s="11"/>
      <c r="D896" s="11"/>
      <c r="E896" s="10"/>
      <c r="F896" s="10"/>
      <c r="G896" s="10"/>
      <c r="H896" s="10"/>
      <c r="I896" s="10"/>
      <c r="J896" s="10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9"/>
      <c r="AE896" s="8"/>
      <c r="AF896" s="14"/>
      <c r="AG896" s="6"/>
      <c r="AH896" s="14"/>
      <c r="AI896" s="9"/>
      <c r="AJ896" s="8"/>
      <c r="AK896" s="6"/>
    </row>
    <row r="897" spans="1:37" s="7" customFormat="1" ht="39" customHeight="1" x14ac:dyDescent="0.25">
      <c r="A897" s="13"/>
      <c r="B897" s="12"/>
      <c r="C897" s="11"/>
      <c r="D897" s="11"/>
      <c r="E897" s="10"/>
      <c r="F897" s="10"/>
      <c r="G897" s="10"/>
      <c r="H897" s="10"/>
      <c r="I897" s="10"/>
      <c r="J897" s="10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9"/>
      <c r="AE897" s="8"/>
      <c r="AF897" s="6"/>
      <c r="AG897" s="6"/>
      <c r="AH897" s="6"/>
      <c r="AI897" s="9"/>
      <c r="AJ897" s="8"/>
      <c r="AK897" s="6"/>
    </row>
    <row r="898" spans="1:37" s="7" customFormat="1" ht="39" customHeight="1" x14ac:dyDescent="0.25">
      <c r="A898" s="13"/>
      <c r="B898" s="12"/>
      <c r="C898" s="11"/>
      <c r="D898" s="11"/>
      <c r="E898" s="10"/>
      <c r="F898" s="10"/>
      <c r="G898" s="10"/>
      <c r="H898" s="10"/>
      <c r="I898" s="10"/>
      <c r="J898" s="10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9"/>
      <c r="AE898" s="8"/>
      <c r="AF898" s="6"/>
      <c r="AG898" s="6"/>
      <c r="AH898" s="6"/>
      <c r="AI898" s="9"/>
      <c r="AJ898" s="8"/>
      <c r="AK898" s="6"/>
    </row>
    <row r="899" spans="1:37" s="7" customFormat="1" ht="39" customHeight="1" x14ac:dyDescent="0.25">
      <c r="A899" s="13"/>
      <c r="B899" s="12"/>
      <c r="C899" s="11"/>
      <c r="D899" s="11"/>
      <c r="E899" s="10"/>
      <c r="F899" s="10"/>
      <c r="G899" s="10"/>
      <c r="H899" s="10"/>
      <c r="I899" s="10"/>
      <c r="J899" s="10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9"/>
      <c r="AE899" s="8"/>
      <c r="AF899" s="6"/>
      <c r="AG899" s="6"/>
      <c r="AH899" s="14"/>
      <c r="AI899" s="9"/>
      <c r="AJ899" s="8"/>
      <c r="AK899" s="6"/>
    </row>
    <row r="900" spans="1:37" s="7" customFormat="1" ht="39" customHeight="1" x14ac:dyDescent="0.25">
      <c r="A900" s="13"/>
      <c r="B900" s="12"/>
      <c r="C900" s="11"/>
      <c r="D900" s="11"/>
      <c r="E900" s="10"/>
      <c r="F900" s="10"/>
      <c r="G900" s="10"/>
      <c r="H900" s="10"/>
      <c r="I900" s="10"/>
      <c r="J900" s="10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9"/>
      <c r="AE900" s="8"/>
      <c r="AF900" s="6"/>
      <c r="AG900" s="6"/>
      <c r="AH900" s="6"/>
      <c r="AI900" s="9"/>
      <c r="AJ900" s="8"/>
      <c r="AK900" s="6"/>
    </row>
    <row r="901" spans="1:37" s="7" customFormat="1" ht="39" customHeight="1" x14ac:dyDescent="0.25">
      <c r="A901" s="13"/>
      <c r="B901" s="12"/>
      <c r="C901" s="11"/>
      <c r="D901" s="11"/>
      <c r="E901" s="10"/>
      <c r="F901" s="10"/>
      <c r="G901" s="10"/>
      <c r="H901" s="10"/>
      <c r="I901" s="10"/>
      <c r="J901" s="10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9"/>
      <c r="AE901" s="8"/>
      <c r="AF901" s="14"/>
      <c r="AG901" s="6"/>
      <c r="AH901" s="14"/>
      <c r="AI901" s="9"/>
      <c r="AJ901" s="8"/>
      <c r="AK901" s="6"/>
    </row>
    <row r="902" spans="1:37" s="7" customFormat="1" ht="39" customHeight="1" x14ac:dyDescent="0.25">
      <c r="A902" s="13"/>
      <c r="B902" s="12"/>
      <c r="C902" s="11"/>
      <c r="D902" s="11"/>
      <c r="E902" s="10"/>
      <c r="F902" s="10"/>
      <c r="G902" s="10"/>
      <c r="H902" s="10"/>
      <c r="I902" s="10"/>
      <c r="J902" s="10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9"/>
      <c r="AE902" s="8"/>
      <c r="AF902" s="14"/>
      <c r="AG902" s="6"/>
      <c r="AH902" s="14"/>
      <c r="AI902" s="9"/>
      <c r="AJ902" s="8"/>
      <c r="AK902" s="6"/>
    </row>
    <row r="903" spans="1:37" s="7" customFormat="1" ht="39" customHeight="1" x14ac:dyDescent="0.25">
      <c r="A903" s="13"/>
      <c r="B903" s="12"/>
      <c r="C903" s="11"/>
      <c r="D903" s="11"/>
      <c r="E903" s="10"/>
      <c r="F903" s="10"/>
      <c r="G903" s="10"/>
      <c r="H903" s="10"/>
      <c r="I903" s="10"/>
      <c r="J903" s="10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9"/>
      <c r="AE903" s="8"/>
      <c r="AF903" s="6"/>
      <c r="AG903" s="6"/>
      <c r="AH903" s="6"/>
      <c r="AI903" s="9"/>
      <c r="AJ903" s="8"/>
      <c r="AK903" s="6"/>
    </row>
    <row r="904" spans="1:37" s="7" customFormat="1" ht="39" customHeight="1" x14ac:dyDescent="0.25">
      <c r="A904" s="13"/>
      <c r="B904" s="12"/>
      <c r="C904" s="11"/>
      <c r="D904" s="11"/>
      <c r="E904" s="6"/>
      <c r="F904" s="10"/>
      <c r="G904" s="10"/>
      <c r="H904" s="10"/>
      <c r="I904" s="10"/>
      <c r="J904" s="10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9"/>
      <c r="AE904" s="8"/>
      <c r="AF904" s="14"/>
      <c r="AG904" s="6"/>
      <c r="AH904" s="14"/>
      <c r="AI904" s="9"/>
      <c r="AJ904" s="8"/>
      <c r="AK904" s="6"/>
    </row>
    <row r="905" spans="1:37" s="7" customFormat="1" ht="39" customHeight="1" x14ac:dyDescent="0.25">
      <c r="A905" s="13"/>
      <c r="B905" s="12"/>
      <c r="C905" s="11"/>
      <c r="D905" s="11"/>
      <c r="E905" s="10"/>
      <c r="F905" s="10"/>
      <c r="G905" s="10"/>
      <c r="H905" s="10"/>
      <c r="I905" s="10"/>
      <c r="J905" s="10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9"/>
      <c r="AE905" s="8"/>
      <c r="AF905" s="6"/>
      <c r="AG905" s="6"/>
      <c r="AH905" s="6"/>
      <c r="AI905" s="9"/>
      <c r="AJ905" s="8"/>
      <c r="AK905" s="6"/>
    </row>
    <row r="906" spans="1:37" s="7" customFormat="1" ht="39" customHeight="1" x14ac:dyDescent="0.25">
      <c r="A906" s="13"/>
      <c r="B906" s="12"/>
      <c r="C906" s="11"/>
      <c r="D906" s="11"/>
      <c r="E906" s="10"/>
      <c r="F906" s="10"/>
      <c r="G906" s="10"/>
      <c r="H906" s="10"/>
      <c r="I906" s="10"/>
      <c r="J906" s="10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9"/>
      <c r="AE906" s="8"/>
      <c r="AF906" s="14"/>
      <c r="AG906" s="6"/>
      <c r="AH906" s="14"/>
      <c r="AI906" s="9"/>
      <c r="AJ906" s="8"/>
      <c r="AK906" s="6"/>
    </row>
    <row r="907" spans="1:37" s="7" customFormat="1" ht="39" customHeight="1" x14ac:dyDescent="0.25">
      <c r="A907" s="13"/>
      <c r="B907" s="12"/>
      <c r="C907" s="11"/>
      <c r="D907" s="11"/>
      <c r="E907" s="6"/>
      <c r="F907" s="10"/>
      <c r="G907" s="10"/>
      <c r="H907" s="10"/>
      <c r="I907" s="10"/>
      <c r="J907" s="10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9"/>
      <c r="AE907" s="8"/>
      <c r="AF907" s="6"/>
      <c r="AG907" s="6"/>
      <c r="AH907" s="6"/>
      <c r="AI907" s="9"/>
      <c r="AJ907" s="8"/>
      <c r="AK907" s="6"/>
    </row>
    <row r="908" spans="1:37" s="7" customFormat="1" ht="39" customHeight="1" x14ac:dyDescent="0.25">
      <c r="A908" s="13"/>
      <c r="B908" s="12"/>
      <c r="C908" s="11"/>
      <c r="D908" s="11"/>
      <c r="E908" s="10"/>
      <c r="F908" s="10"/>
      <c r="G908" s="10"/>
      <c r="H908" s="10"/>
      <c r="I908" s="10"/>
      <c r="J908" s="10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9"/>
      <c r="AE908" s="8"/>
      <c r="AF908" s="14"/>
      <c r="AG908" s="6"/>
      <c r="AH908" s="14"/>
      <c r="AI908" s="9"/>
      <c r="AJ908" s="8"/>
      <c r="AK908" s="6"/>
    </row>
    <row r="909" spans="1:37" s="7" customFormat="1" ht="39" customHeight="1" x14ac:dyDescent="0.25">
      <c r="A909" s="13"/>
      <c r="B909" s="21"/>
      <c r="C909" s="11"/>
      <c r="D909" s="11"/>
      <c r="E909" s="10"/>
      <c r="F909" s="10"/>
      <c r="G909" s="10"/>
      <c r="H909" s="10"/>
      <c r="I909" s="10"/>
      <c r="J909" s="10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9"/>
      <c r="AE909" s="8"/>
      <c r="AF909" s="6"/>
      <c r="AG909" s="6"/>
      <c r="AH909" s="6"/>
      <c r="AI909" s="9"/>
      <c r="AJ909" s="8"/>
      <c r="AK909" s="6"/>
    </row>
    <row r="910" spans="1:37" s="7" customFormat="1" ht="39" customHeight="1" x14ac:dyDescent="0.25">
      <c r="A910" s="13"/>
      <c r="B910" s="12"/>
      <c r="C910" s="11"/>
      <c r="D910" s="11"/>
      <c r="E910" s="10"/>
      <c r="F910" s="10"/>
      <c r="G910" s="10"/>
      <c r="H910" s="10"/>
      <c r="I910" s="10"/>
      <c r="J910" s="10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9"/>
      <c r="AE910" s="8"/>
      <c r="AF910" s="6"/>
      <c r="AG910" s="6"/>
      <c r="AH910" s="6"/>
      <c r="AI910" s="9"/>
      <c r="AJ910" s="8"/>
      <c r="AK910" s="6"/>
    </row>
    <row r="911" spans="1:37" s="7" customFormat="1" ht="39" customHeight="1" x14ac:dyDescent="0.25">
      <c r="A911" s="13"/>
      <c r="B911" s="12"/>
      <c r="C911" s="11"/>
      <c r="D911" s="11"/>
      <c r="E911" s="10"/>
      <c r="F911" s="10"/>
      <c r="G911" s="10"/>
      <c r="H911" s="10"/>
      <c r="I911" s="10"/>
      <c r="J911" s="10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9"/>
      <c r="AE911" s="8"/>
      <c r="AF911" s="14"/>
      <c r="AG911" s="6"/>
      <c r="AH911" s="14"/>
      <c r="AI911" s="9"/>
      <c r="AJ911" s="8"/>
      <c r="AK911" s="6"/>
    </row>
    <row r="912" spans="1:37" s="7" customFormat="1" ht="39" customHeight="1" x14ac:dyDescent="0.25">
      <c r="A912" s="13"/>
      <c r="B912" s="12"/>
      <c r="C912" s="11"/>
      <c r="D912" s="11"/>
      <c r="E912" s="10"/>
      <c r="F912" s="10"/>
      <c r="G912" s="10"/>
      <c r="H912" s="10"/>
      <c r="I912" s="10"/>
      <c r="J912" s="10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9"/>
      <c r="AE912" s="8"/>
      <c r="AF912" s="6"/>
      <c r="AG912" s="6"/>
      <c r="AH912" s="6"/>
      <c r="AI912" s="9"/>
      <c r="AJ912" s="8"/>
      <c r="AK912" s="6"/>
    </row>
    <row r="913" spans="1:37" s="7" customFormat="1" ht="39" customHeight="1" x14ac:dyDescent="0.25">
      <c r="A913" s="13"/>
      <c r="B913" s="12"/>
      <c r="C913" s="11"/>
      <c r="D913" s="11"/>
      <c r="E913" s="10"/>
      <c r="F913" s="10"/>
      <c r="G913" s="10"/>
      <c r="H913" s="10"/>
      <c r="I913" s="10"/>
      <c r="J913" s="10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9"/>
      <c r="AE913" s="8"/>
      <c r="AF913" s="14"/>
      <c r="AG913" s="6"/>
      <c r="AH913" s="14"/>
      <c r="AI913" s="9"/>
      <c r="AJ913" s="8"/>
      <c r="AK913" s="6"/>
    </row>
    <row r="914" spans="1:37" s="7" customFormat="1" ht="39" customHeight="1" x14ac:dyDescent="0.25">
      <c r="A914" s="13"/>
      <c r="B914" s="12"/>
      <c r="C914" s="11"/>
      <c r="D914" s="11"/>
      <c r="E914" s="6"/>
      <c r="F914" s="6"/>
      <c r="G914" s="10"/>
      <c r="H914" s="10"/>
      <c r="I914" s="10"/>
      <c r="J914" s="10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9"/>
      <c r="AE914" s="8"/>
      <c r="AF914" s="6"/>
      <c r="AG914" s="6"/>
      <c r="AH914" s="6"/>
      <c r="AI914" s="9"/>
      <c r="AJ914" s="8"/>
      <c r="AK914" s="6"/>
    </row>
    <row r="915" spans="1:37" s="7" customFormat="1" ht="39" customHeight="1" x14ac:dyDescent="0.25">
      <c r="A915" s="13"/>
      <c r="B915" s="12"/>
      <c r="C915" s="11"/>
      <c r="D915" s="11"/>
      <c r="E915" s="10"/>
      <c r="F915" s="10"/>
      <c r="G915" s="10"/>
      <c r="H915" s="10"/>
      <c r="I915" s="10"/>
      <c r="J915" s="10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9"/>
      <c r="AE915" s="8"/>
      <c r="AF915" s="6"/>
      <c r="AG915" s="6"/>
      <c r="AH915" s="6"/>
      <c r="AI915" s="9"/>
      <c r="AJ915" s="8"/>
      <c r="AK915" s="6"/>
    </row>
    <row r="916" spans="1:37" s="7" customFormat="1" ht="39" customHeight="1" x14ac:dyDescent="0.25">
      <c r="A916" s="13"/>
      <c r="B916" s="12"/>
      <c r="C916" s="11"/>
      <c r="D916" s="11"/>
      <c r="E916" s="10"/>
      <c r="F916" s="10"/>
      <c r="G916" s="10"/>
      <c r="H916" s="10"/>
      <c r="I916" s="10"/>
      <c r="J916" s="10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9"/>
      <c r="AE916" s="8"/>
      <c r="AF916" s="6"/>
      <c r="AG916" s="6"/>
      <c r="AH916" s="6"/>
      <c r="AI916" s="9"/>
      <c r="AJ916" s="8"/>
      <c r="AK916" s="6"/>
    </row>
    <row r="917" spans="1:37" s="7" customFormat="1" ht="39" customHeight="1" x14ac:dyDescent="0.25">
      <c r="A917" s="13"/>
      <c r="B917" s="12"/>
      <c r="C917" s="11"/>
      <c r="D917" s="11"/>
      <c r="E917" s="10"/>
      <c r="F917" s="10"/>
      <c r="G917" s="10"/>
      <c r="H917" s="10"/>
      <c r="I917" s="10"/>
      <c r="J917" s="10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9"/>
      <c r="AE917" s="8"/>
      <c r="AF917" s="14"/>
      <c r="AG917" s="6"/>
      <c r="AH917" s="14"/>
      <c r="AI917" s="9"/>
      <c r="AJ917" s="8"/>
      <c r="AK917" s="6"/>
    </row>
    <row r="918" spans="1:37" s="7" customFormat="1" ht="39" customHeight="1" x14ac:dyDescent="0.25">
      <c r="A918" s="13"/>
      <c r="B918" s="12"/>
      <c r="C918" s="11"/>
      <c r="D918" s="11"/>
      <c r="E918" s="10"/>
      <c r="F918" s="10"/>
      <c r="G918" s="10"/>
      <c r="H918" s="10"/>
      <c r="I918" s="10"/>
      <c r="J918" s="10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9"/>
      <c r="AE918" s="8"/>
      <c r="AF918" s="14"/>
      <c r="AG918" s="6"/>
      <c r="AH918" s="14"/>
      <c r="AI918" s="9"/>
      <c r="AJ918" s="8"/>
      <c r="AK918" s="6"/>
    </row>
    <row r="919" spans="1:37" s="7" customFormat="1" ht="39" customHeight="1" x14ac:dyDescent="0.25">
      <c r="A919" s="13"/>
      <c r="B919" s="12"/>
      <c r="C919" s="11"/>
      <c r="D919" s="11"/>
      <c r="E919" s="6"/>
      <c r="F919" s="10"/>
      <c r="G919" s="10"/>
      <c r="H919" s="10"/>
      <c r="I919" s="10"/>
      <c r="J919" s="10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9"/>
      <c r="AE919" s="8"/>
      <c r="AF919" s="14"/>
      <c r="AG919" s="6"/>
      <c r="AH919" s="14"/>
      <c r="AI919" s="9"/>
      <c r="AJ919" s="8"/>
      <c r="AK919" s="6"/>
    </row>
    <row r="920" spans="1:37" s="7" customFormat="1" ht="39" customHeight="1" x14ac:dyDescent="0.25">
      <c r="A920" s="13"/>
      <c r="B920" s="12"/>
      <c r="C920" s="11"/>
      <c r="D920" s="11"/>
      <c r="E920" s="10"/>
      <c r="F920" s="10"/>
      <c r="G920" s="10"/>
      <c r="H920" s="10"/>
      <c r="I920" s="10"/>
      <c r="J920" s="10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9"/>
      <c r="AE920" s="8"/>
      <c r="AF920" s="6"/>
      <c r="AG920" s="6"/>
      <c r="AH920" s="6"/>
      <c r="AI920" s="9"/>
      <c r="AJ920" s="8"/>
      <c r="AK920" s="6"/>
    </row>
    <row r="921" spans="1:37" s="7" customFormat="1" ht="39" customHeight="1" x14ac:dyDescent="0.25">
      <c r="A921" s="20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5"/>
      <c r="M921" s="19"/>
      <c r="N921" s="19"/>
      <c r="O921" s="19"/>
      <c r="P921" s="19"/>
      <c r="Q921" s="19"/>
      <c r="R921" s="15"/>
      <c r="S921" s="15"/>
      <c r="T921" s="15"/>
      <c r="U921" s="19"/>
      <c r="V921" s="19"/>
      <c r="W921" s="15"/>
      <c r="X921" s="15"/>
      <c r="Y921" s="15"/>
      <c r="Z921" s="15"/>
      <c r="AA921" s="15"/>
      <c r="AB921" s="15"/>
      <c r="AC921" s="18"/>
      <c r="AD921" s="17"/>
      <c r="AE921" s="16"/>
      <c r="AF921" s="15"/>
      <c r="AG921" s="15"/>
      <c r="AH921" s="15"/>
      <c r="AI921" s="17"/>
      <c r="AJ921" s="16"/>
      <c r="AK921" s="15"/>
    </row>
    <row r="922" spans="1:37" s="7" customFormat="1" ht="39" customHeight="1" x14ac:dyDescent="0.25">
      <c r="A922" s="13"/>
      <c r="B922" s="12"/>
      <c r="C922" s="11"/>
      <c r="D922" s="11"/>
      <c r="E922" s="10"/>
      <c r="F922" s="10"/>
      <c r="G922" s="10"/>
      <c r="H922" s="10"/>
      <c r="I922" s="10"/>
      <c r="J922" s="10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9"/>
      <c r="AE922" s="8"/>
      <c r="AF922" s="6"/>
      <c r="AG922" s="6"/>
      <c r="AH922" s="6"/>
      <c r="AI922" s="9"/>
      <c r="AJ922" s="8"/>
      <c r="AK922" s="6"/>
    </row>
    <row r="923" spans="1:37" s="7" customFormat="1" ht="39" customHeight="1" x14ac:dyDescent="0.25">
      <c r="A923" s="13"/>
      <c r="B923" s="12"/>
      <c r="C923" s="11"/>
      <c r="D923" s="11"/>
      <c r="E923" s="10"/>
      <c r="F923" s="10"/>
      <c r="G923" s="10"/>
      <c r="H923" s="10"/>
      <c r="I923" s="10"/>
      <c r="J923" s="10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9"/>
      <c r="AE923" s="8"/>
      <c r="AF923" s="14"/>
      <c r="AG923" s="6"/>
      <c r="AH923" s="14"/>
      <c r="AI923" s="9"/>
      <c r="AJ923" s="8"/>
      <c r="AK923" s="6"/>
    </row>
    <row r="924" spans="1:37" s="7" customFormat="1" ht="39" customHeight="1" x14ac:dyDescent="0.25">
      <c r="A924" s="13"/>
      <c r="B924" s="12"/>
      <c r="C924" s="11"/>
      <c r="D924" s="11"/>
      <c r="E924" s="10"/>
      <c r="F924" s="10"/>
      <c r="G924" s="10"/>
      <c r="H924" s="10"/>
      <c r="I924" s="10"/>
      <c r="J924" s="10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9"/>
      <c r="AE924" s="8"/>
      <c r="AF924" s="6"/>
      <c r="AG924" s="6"/>
      <c r="AH924" s="6"/>
      <c r="AI924" s="9"/>
      <c r="AJ924" s="8"/>
      <c r="AK924" s="6"/>
    </row>
    <row r="925" spans="1:37" s="7" customFormat="1" ht="39" customHeight="1" x14ac:dyDescent="0.25">
      <c r="A925" s="13"/>
      <c r="B925" s="12"/>
      <c r="C925" s="11"/>
      <c r="D925" s="11"/>
      <c r="E925" s="10"/>
      <c r="F925" s="10"/>
      <c r="G925" s="10"/>
      <c r="H925" s="10"/>
      <c r="I925" s="10"/>
      <c r="J925" s="10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9"/>
      <c r="AE925" s="8"/>
      <c r="AF925" s="6"/>
      <c r="AG925" s="6"/>
      <c r="AH925" s="6"/>
      <c r="AI925" s="9"/>
      <c r="AJ925" s="8"/>
      <c r="AK925" s="6"/>
    </row>
    <row r="926" spans="1:37" s="7" customFormat="1" ht="39" customHeight="1" x14ac:dyDescent="0.25">
      <c r="A926" s="13"/>
      <c r="B926" s="12"/>
      <c r="C926" s="11"/>
      <c r="D926" s="11"/>
      <c r="E926" s="10"/>
      <c r="F926" s="10"/>
      <c r="G926" s="10"/>
      <c r="H926" s="10"/>
      <c r="I926" s="10"/>
      <c r="J926" s="10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9"/>
      <c r="AE926" s="8"/>
      <c r="AF926" s="6"/>
      <c r="AG926" s="6"/>
      <c r="AH926" s="14"/>
      <c r="AI926" s="9"/>
      <c r="AJ926" s="8"/>
      <c r="AK926" s="6"/>
    </row>
    <row r="927" spans="1:37" s="7" customFormat="1" ht="39" customHeight="1" x14ac:dyDescent="0.25">
      <c r="A927" s="13"/>
      <c r="B927" s="12"/>
      <c r="C927" s="11"/>
      <c r="D927" s="11"/>
      <c r="E927" s="10"/>
      <c r="F927" s="10"/>
      <c r="G927" s="10"/>
      <c r="H927" s="10"/>
      <c r="I927" s="10"/>
      <c r="J927" s="10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9"/>
      <c r="AE927" s="8"/>
      <c r="AF927" s="6"/>
      <c r="AG927" s="6"/>
      <c r="AH927" s="6"/>
      <c r="AI927" s="9"/>
      <c r="AJ927" s="8"/>
      <c r="AK927" s="6"/>
    </row>
    <row r="928" spans="1:37" s="7" customFormat="1" ht="39" customHeight="1" x14ac:dyDescent="0.25">
      <c r="A928" s="13"/>
      <c r="B928" s="12"/>
      <c r="C928" s="11"/>
      <c r="D928" s="11"/>
      <c r="E928" s="10"/>
      <c r="F928" s="10"/>
      <c r="G928" s="10"/>
      <c r="H928" s="10"/>
      <c r="I928" s="10"/>
      <c r="J928" s="10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9"/>
      <c r="AE928" s="8"/>
      <c r="AF928" s="14"/>
      <c r="AG928" s="6"/>
      <c r="AH928" s="14"/>
      <c r="AI928" s="9"/>
      <c r="AJ928" s="8"/>
      <c r="AK928" s="6"/>
    </row>
    <row r="929" spans="1:37" s="7" customFormat="1" ht="39" customHeight="1" x14ac:dyDescent="0.25">
      <c r="A929" s="13"/>
      <c r="B929" s="12"/>
      <c r="C929" s="11"/>
      <c r="D929" s="11"/>
      <c r="E929" s="10"/>
      <c r="F929" s="10"/>
      <c r="G929" s="10"/>
      <c r="H929" s="10"/>
      <c r="I929" s="10"/>
      <c r="J929" s="10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9"/>
      <c r="AE929" s="8"/>
      <c r="AF929" s="14"/>
      <c r="AG929" s="6"/>
      <c r="AH929" s="14"/>
      <c r="AI929" s="9"/>
      <c r="AJ929" s="8"/>
      <c r="AK929" s="6"/>
    </row>
    <row r="930" spans="1:37" s="7" customFormat="1" ht="39" customHeight="1" x14ac:dyDescent="0.25">
      <c r="A930" s="13"/>
      <c r="B930" s="12"/>
      <c r="C930" s="11"/>
      <c r="D930" s="11"/>
      <c r="E930" s="10"/>
      <c r="F930" s="10"/>
      <c r="G930" s="10"/>
      <c r="H930" s="10"/>
      <c r="I930" s="10"/>
      <c r="J930" s="10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9"/>
      <c r="AE930" s="8"/>
      <c r="AF930" s="6"/>
      <c r="AG930" s="6"/>
      <c r="AH930" s="6"/>
      <c r="AI930" s="9"/>
      <c r="AJ930" s="8"/>
      <c r="AK930" s="6"/>
    </row>
    <row r="931" spans="1:37" s="7" customFormat="1" ht="39" customHeight="1" x14ac:dyDescent="0.25">
      <c r="A931" s="13"/>
      <c r="B931" s="12"/>
      <c r="C931" s="11"/>
      <c r="D931" s="11"/>
      <c r="E931" s="6"/>
      <c r="F931" s="10"/>
      <c r="G931" s="10"/>
      <c r="H931" s="10"/>
      <c r="I931" s="10"/>
      <c r="J931" s="10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9"/>
      <c r="AE931" s="8"/>
      <c r="AF931" s="14"/>
      <c r="AG931" s="6"/>
      <c r="AH931" s="14"/>
      <c r="AI931" s="9"/>
      <c r="AJ931" s="8"/>
      <c r="AK931" s="6"/>
    </row>
    <row r="932" spans="1:37" s="7" customFormat="1" ht="39" customHeight="1" x14ac:dyDescent="0.25">
      <c r="A932" s="13"/>
      <c r="B932" s="12"/>
      <c r="C932" s="11"/>
      <c r="D932" s="11"/>
      <c r="E932" s="10"/>
      <c r="F932" s="10"/>
      <c r="G932" s="10"/>
      <c r="H932" s="10"/>
      <c r="I932" s="10"/>
      <c r="J932" s="10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9"/>
      <c r="AE932" s="8"/>
      <c r="AF932" s="6"/>
      <c r="AG932" s="6"/>
      <c r="AH932" s="6"/>
      <c r="AI932" s="9"/>
      <c r="AJ932" s="8"/>
      <c r="AK932" s="6"/>
    </row>
    <row r="933" spans="1:37" s="7" customFormat="1" ht="39" customHeight="1" x14ac:dyDescent="0.25">
      <c r="A933" s="13"/>
      <c r="B933" s="12"/>
      <c r="C933" s="11"/>
      <c r="D933" s="11"/>
      <c r="E933" s="10"/>
      <c r="F933" s="10"/>
      <c r="G933" s="10"/>
      <c r="H933" s="10"/>
      <c r="I933" s="10"/>
      <c r="J933" s="10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9"/>
      <c r="AE933" s="8"/>
      <c r="AF933" s="14"/>
      <c r="AG933" s="6"/>
      <c r="AH933" s="14"/>
      <c r="AI933" s="9"/>
      <c r="AJ933" s="8"/>
      <c r="AK933" s="6"/>
    </row>
    <row r="934" spans="1:37" s="7" customFormat="1" ht="39" customHeight="1" x14ac:dyDescent="0.25">
      <c r="A934" s="13"/>
      <c r="B934" s="12"/>
      <c r="C934" s="11"/>
      <c r="D934" s="11"/>
      <c r="E934" s="6"/>
      <c r="F934" s="10"/>
      <c r="G934" s="10"/>
      <c r="H934" s="10"/>
      <c r="I934" s="10"/>
      <c r="J934" s="10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9"/>
      <c r="AE934" s="8"/>
      <c r="AF934" s="6"/>
      <c r="AG934" s="6"/>
      <c r="AH934" s="6"/>
      <c r="AI934" s="9"/>
      <c r="AJ934" s="8"/>
      <c r="AK934" s="6"/>
    </row>
    <row r="935" spans="1:37" s="7" customFormat="1" ht="39" customHeight="1" x14ac:dyDescent="0.25">
      <c r="A935" s="13"/>
      <c r="B935" s="12"/>
      <c r="C935" s="11"/>
      <c r="D935" s="11"/>
      <c r="E935" s="10"/>
      <c r="F935" s="10"/>
      <c r="G935" s="10"/>
      <c r="H935" s="10"/>
      <c r="I935" s="10"/>
      <c r="J935" s="10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9"/>
      <c r="AE935" s="8"/>
      <c r="AF935" s="14"/>
      <c r="AG935" s="6"/>
      <c r="AH935" s="14"/>
      <c r="AI935" s="9"/>
      <c r="AJ935" s="8"/>
      <c r="AK935" s="6"/>
    </row>
    <row r="936" spans="1:37" s="7" customFormat="1" ht="39" customHeight="1" x14ac:dyDescent="0.25">
      <c r="A936" s="13"/>
      <c r="B936" s="12"/>
      <c r="C936" s="11"/>
      <c r="D936" s="11"/>
      <c r="E936" s="10"/>
      <c r="F936" s="10"/>
      <c r="G936" s="10"/>
      <c r="H936" s="10"/>
      <c r="I936" s="10"/>
      <c r="J936" s="10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9"/>
      <c r="AE936" s="8"/>
      <c r="AF936" s="6"/>
      <c r="AG936" s="6"/>
      <c r="AH936" s="6"/>
      <c r="AI936" s="9"/>
      <c r="AJ936" s="8"/>
      <c r="AK936" s="6"/>
    </row>
    <row r="937" spans="1:37" s="7" customFormat="1" ht="39" customHeight="1" x14ac:dyDescent="0.25">
      <c r="A937" s="13"/>
      <c r="B937" s="12"/>
      <c r="C937" s="11"/>
      <c r="D937" s="11"/>
      <c r="E937" s="10"/>
      <c r="F937" s="10"/>
      <c r="G937" s="10"/>
      <c r="H937" s="10"/>
      <c r="I937" s="10"/>
      <c r="J937" s="10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9"/>
      <c r="AE937" s="8"/>
      <c r="AF937" s="6"/>
      <c r="AG937" s="6"/>
      <c r="AH937" s="6"/>
      <c r="AI937" s="9"/>
      <c r="AJ937" s="8"/>
      <c r="AK937" s="6"/>
    </row>
    <row r="938" spans="1:37" s="7" customFormat="1" ht="39" customHeight="1" x14ac:dyDescent="0.25">
      <c r="A938" s="13"/>
      <c r="B938" s="12"/>
      <c r="C938" s="11"/>
      <c r="D938" s="11"/>
      <c r="E938" s="10"/>
      <c r="F938" s="10"/>
      <c r="G938" s="10"/>
      <c r="H938" s="10"/>
      <c r="I938" s="10"/>
      <c r="J938" s="10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9"/>
      <c r="AE938" s="8"/>
      <c r="AF938" s="14"/>
      <c r="AG938" s="6"/>
      <c r="AH938" s="14"/>
      <c r="AI938" s="9"/>
      <c r="AJ938" s="8"/>
      <c r="AK938" s="6"/>
    </row>
    <row r="939" spans="1:37" s="7" customFormat="1" ht="39" customHeight="1" x14ac:dyDescent="0.25">
      <c r="A939" s="13"/>
      <c r="B939" s="12"/>
      <c r="C939" s="11"/>
      <c r="D939" s="11"/>
      <c r="E939" s="10"/>
      <c r="F939" s="10"/>
      <c r="G939" s="10"/>
      <c r="H939" s="10"/>
      <c r="I939" s="10"/>
      <c r="J939" s="10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9"/>
      <c r="AE939" s="8"/>
      <c r="AF939" s="6"/>
      <c r="AG939" s="6"/>
      <c r="AH939" s="6"/>
      <c r="AI939" s="9"/>
      <c r="AJ939" s="8"/>
      <c r="AK939" s="6"/>
    </row>
    <row r="940" spans="1:37" s="7" customFormat="1" ht="39" customHeight="1" x14ac:dyDescent="0.25">
      <c r="A940" s="13"/>
      <c r="B940" s="12"/>
      <c r="C940" s="11"/>
      <c r="D940" s="11"/>
      <c r="E940" s="10"/>
      <c r="F940" s="10"/>
      <c r="G940" s="10"/>
      <c r="H940" s="10"/>
      <c r="I940" s="10"/>
      <c r="J940" s="10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9"/>
      <c r="AE940" s="8"/>
      <c r="AF940" s="14"/>
      <c r="AG940" s="6"/>
      <c r="AH940" s="14"/>
      <c r="AI940" s="9"/>
      <c r="AJ940" s="8"/>
      <c r="AK940" s="6"/>
    </row>
    <row r="941" spans="1:37" s="7" customFormat="1" ht="39" customHeight="1" x14ac:dyDescent="0.25">
      <c r="A941" s="13"/>
      <c r="B941" s="12"/>
      <c r="C941" s="11"/>
      <c r="D941" s="11"/>
      <c r="E941" s="6"/>
      <c r="F941" s="6"/>
      <c r="G941" s="10"/>
      <c r="H941" s="10"/>
      <c r="I941" s="10"/>
      <c r="J941" s="10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9"/>
      <c r="AE941" s="8"/>
      <c r="AF941" s="6"/>
      <c r="AG941" s="6"/>
      <c r="AH941" s="6"/>
      <c r="AI941" s="9"/>
      <c r="AJ941" s="8"/>
      <c r="AK941" s="6"/>
    </row>
    <row r="942" spans="1:37" s="7" customFormat="1" ht="39" customHeight="1" x14ac:dyDescent="0.25">
      <c r="A942" s="13"/>
      <c r="B942" s="12"/>
      <c r="C942" s="11"/>
      <c r="D942" s="11"/>
      <c r="E942" s="10"/>
      <c r="F942" s="10"/>
      <c r="G942" s="10"/>
      <c r="H942" s="10"/>
      <c r="I942" s="10"/>
      <c r="J942" s="10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9"/>
      <c r="AE942" s="8"/>
      <c r="AF942" s="6"/>
      <c r="AG942" s="6"/>
      <c r="AH942" s="6"/>
      <c r="AI942" s="9"/>
      <c r="AJ942" s="8"/>
      <c r="AK942" s="6"/>
    </row>
    <row r="943" spans="1:37" s="7" customFormat="1" ht="39" customHeight="1" x14ac:dyDescent="0.25">
      <c r="A943" s="13"/>
      <c r="B943" s="12"/>
      <c r="C943" s="11"/>
      <c r="D943" s="11"/>
      <c r="E943" s="10"/>
      <c r="F943" s="10"/>
      <c r="G943" s="10"/>
      <c r="H943" s="10"/>
      <c r="I943" s="10"/>
      <c r="J943" s="10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9"/>
      <c r="AE943" s="8"/>
      <c r="AF943" s="6"/>
      <c r="AG943" s="6"/>
      <c r="AH943" s="6"/>
      <c r="AI943" s="9"/>
      <c r="AJ943" s="8"/>
      <c r="AK943" s="6"/>
    </row>
    <row r="944" spans="1:37" s="7" customFormat="1" ht="39" customHeight="1" x14ac:dyDescent="0.25">
      <c r="A944" s="13"/>
      <c r="B944" s="12"/>
      <c r="C944" s="11"/>
      <c r="D944" s="11"/>
      <c r="E944" s="10"/>
      <c r="F944" s="10"/>
      <c r="G944" s="10"/>
      <c r="H944" s="10"/>
      <c r="I944" s="10"/>
      <c r="J944" s="10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9"/>
      <c r="AE944" s="8"/>
      <c r="AF944" s="14"/>
      <c r="AG944" s="6"/>
      <c r="AH944" s="14"/>
      <c r="AI944" s="9"/>
      <c r="AJ944" s="8"/>
      <c r="AK944" s="6"/>
    </row>
    <row r="945" spans="1:37" s="7" customFormat="1" ht="39" customHeight="1" x14ac:dyDescent="0.25">
      <c r="A945" s="13"/>
      <c r="B945" s="12"/>
      <c r="C945" s="11"/>
      <c r="D945" s="11"/>
      <c r="E945" s="10"/>
      <c r="F945" s="10"/>
      <c r="G945" s="10"/>
      <c r="H945" s="10"/>
      <c r="I945" s="10"/>
      <c r="J945" s="10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9"/>
      <c r="AE945" s="8"/>
      <c r="AF945" s="14"/>
      <c r="AG945" s="6"/>
      <c r="AH945" s="14"/>
      <c r="AI945" s="9"/>
      <c r="AJ945" s="8"/>
      <c r="AK945" s="6"/>
    </row>
    <row r="946" spans="1:37" s="7" customFormat="1" ht="39" customHeight="1" x14ac:dyDescent="0.25">
      <c r="A946" s="13"/>
      <c r="B946" s="12"/>
      <c r="C946" s="11"/>
      <c r="D946" s="11"/>
      <c r="E946" s="6"/>
      <c r="F946" s="10"/>
      <c r="G946" s="10"/>
      <c r="H946" s="10"/>
      <c r="I946" s="10"/>
      <c r="J946" s="10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9"/>
      <c r="AE946" s="8"/>
      <c r="AF946" s="14"/>
      <c r="AG946" s="6"/>
      <c r="AH946" s="14"/>
      <c r="AI946" s="9"/>
      <c r="AJ946" s="8"/>
      <c r="AK946" s="6"/>
    </row>
    <row r="947" spans="1:37" s="7" customFormat="1" ht="39" customHeight="1" x14ac:dyDescent="0.25">
      <c r="A947" s="13"/>
      <c r="B947" s="12"/>
      <c r="C947" s="11"/>
      <c r="D947" s="11"/>
      <c r="E947" s="10"/>
      <c r="F947" s="10"/>
      <c r="G947" s="10"/>
      <c r="H947" s="10"/>
      <c r="I947" s="10"/>
      <c r="J947" s="10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9"/>
      <c r="AE947" s="8"/>
      <c r="AF947" s="6"/>
      <c r="AG947" s="6"/>
      <c r="AH947" s="6"/>
      <c r="AI947" s="9"/>
      <c r="AJ947" s="8"/>
      <c r="AK947" s="6"/>
    </row>
    <row r="948" spans="1:37" ht="36" x14ac:dyDescent="0.25">
      <c r="AC948" s="6"/>
    </row>
  </sheetData>
  <sheetProtection selectLockedCells="1" selectUnlockedCells="1"/>
  <autoFilter ref="A5:AK920" xr:uid="{00000000-0009-0000-0000-000001000000}"/>
  <mergeCells count="2">
    <mergeCell ref="E4:AE4"/>
    <mergeCell ref="C4:D4"/>
  </mergeCells>
  <phoneticPr fontId="3" type="noConversion"/>
  <conditionalFormatting sqref="D12">
    <cfRule type="duplicateValues" dxfId="449" priority="150"/>
    <cfRule type="duplicateValues" dxfId="448" priority="152"/>
    <cfRule type="duplicateValues" dxfId="447" priority="154"/>
    <cfRule type="duplicateValues" dxfId="446" priority="156"/>
  </conditionalFormatting>
  <conditionalFormatting sqref="D15">
    <cfRule type="duplicateValues" dxfId="445" priority="149"/>
    <cfRule type="duplicateValues" dxfId="444" priority="151"/>
    <cfRule type="duplicateValues" dxfId="443" priority="153"/>
    <cfRule type="duplicateValues" dxfId="442" priority="155"/>
  </conditionalFormatting>
  <conditionalFormatting sqref="D30">
    <cfRule type="duplicateValues" dxfId="441" priority="145"/>
    <cfRule type="duplicateValues" dxfId="440" priority="146"/>
    <cfRule type="duplicateValues" dxfId="439" priority="147"/>
    <cfRule type="duplicateValues" dxfId="438" priority="148"/>
  </conditionalFormatting>
  <conditionalFormatting sqref="D39">
    <cfRule type="duplicateValues" dxfId="437" priority="138"/>
    <cfRule type="duplicateValues" dxfId="436" priority="140"/>
    <cfRule type="duplicateValues" dxfId="435" priority="142"/>
    <cfRule type="duplicateValues" dxfId="434" priority="144"/>
  </conditionalFormatting>
  <conditionalFormatting sqref="D42">
    <cfRule type="duplicateValues" dxfId="433" priority="137"/>
    <cfRule type="duplicateValues" dxfId="432" priority="139"/>
    <cfRule type="duplicateValues" dxfId="431" priority="141"/>
    <cfRule type="duplicateValues" dxfId="430" priority="143"/>
  </conditionalFormatting>
  <conditionalFormatting sqref="D57">
    <cfRule type="duplicateValues" dxfId="429" priority="133"/>
    <cfRule type="duplicateValues" dxfId="428" priority="134"/>
    <cfRule type="duplicateValues" dxfId="427" priority="135"/>
    <cfRule type="duplicateValues" dxfId="426" priority="136"/>
  </conditionalFormatting>
  <conditionalFormatting sqref="D66">
    <cfRule type="duplicateValues" dxfId="425" priority="126"/>
    <cfRule type="duplicateValues" dxfId="424" priority="128"/>
    <cfRule type="duplicateValues" dxfId="423" priority="130"/>
    <cfRule type="duplicateValues" dxfId="422" priority="132"/>
  </conditionalFormatting>
  <conditionalFormatting sqref="D69">
    <cfRule type="duplicateValues" dxfId="421" priority="125"/>
    <cfRule type="duplicateValues" dxfId="420" priority="127"/>
    <cfRule type="duplicateValues" dxfId="419" priority="129"/>
    <cfRule type="duplicateValues" dxfId="418" priority="131"/>
  </conditionalFormatting>
  <conditionalFormatting sqref="D84">
    <cfRule type="duplicateValues" dxfId="417" priority="121"/>
    <cfRule type="duplicateValues" dxfId="416" priority="122"/>
    <cfRule type="duplicateValues" dxfId="415" priority="123"/>
    <cfRule type="duplicateValues" dxfId="414" priority="124"/>
  </conditionalFormatting>
  <conditionalFormatting sqref="D93">
    <cfRule type="duplicateValues" dxfId="413" priority="114"/>
    <cfRule type="duplicateValues" dxfId="412" priority="116"/>
    <cfRule type="duplicateValues" dxfId="411" priority="118"/>
    <cfRule type="duplicateValues" dxfId="410" priority="120"/>
  </conditionalFormatting>
  <conditionalFormatting sqref="D96">
    <cfRule type="duplicateValues" dxfId="409" priority="113"/>
    <cfRule type="duplicateValues" dxfId="408" priority="115"/>
    <cfRule type="duplicateValues" dxfId="407" priority="117"/>
    <cfRule type="duplicateValues" dxfId="406" priority="119"/>
  </conditionalFormatting>
  <conditionalFormatting sqref="D111">
    <cfRule type="duplicateValues" dxfId="405" priority="109"/>
    <cfRule type="duplicateValues" dxfId="404" priority="110"/>
    <cfRule type="duplicateValues" dxfId="403" priority="111"/>
    <cfRule type="duplicateValues" dxfId="402" priority="112"/>
  </conditionalFormatting>
  <conditionalFormatting sqref="D120">
    <cfRule type="duplicateValues" dxfId="401" priority="102"/>
    <cfRule type="duplicateValues" dxfId="400" priority="104"/>
    <cfRule type="duplicateValues" dxfId="399" priority="106"/>
    <cfRule type="duplicateValues" dxfId="398" priority="108"/>
  </conditionalFormatting>
  <conditionalFormatting sqref="D123">
    <cfRule type="duplicateValues" dxfId="397" priority="101"/>
    <cfRule type="duplicateValues" dxfId="396" priority="103"/>
    <cfRule type="duplicateValues" dxfId="395" priority="105"/>
    <cfRule type="duplicateValues" dxfId="394" priority="107"/>
  </conditionalFormatting>
  <conditionalFormatting sqref="D138">
    <cfRule type="duplicateValues" dxfId="393" priority="97"/>
    <cfRule type="duplicateValues" dxfId="392" priority="98"/>
    <cfRule type="duplicateValues" dxfId="391" priority="99"/>
    <cfRule type="duplicateValues" dxfId="390" priority="100"/>
  </conditionalFormatting>
  <conditionalFormatting sqref="D147">
    <cfRule type="duplicateValues" dxfId="389" priority="90"/>
    <cfRule type="duplicateValues" dxfId="388" priority="92"/>
    <cfRule type="duplicateValues" dxfId="387" priority="94"/>
    <cfRule type="duplicateValues" dxfId="386" priority="96"/>
  </conditionalFormatting>
  <conditionalFormatting sqref="D150">
    <cfRule type="duplicateValues" dxfId="385" priority="89"/>
    <cfRule type="duplicateValues" dxfId="384" priority="91"/>
    <cfRule type="duplicateValues" dxfId="383" priority="93"/>
    <cfRule type="duplicateValues" dxfId="382" priority="95"/>
  </conditionalFormatting>
  <conditionalFormatting sqref="D165">
    <cfRule type="duplicateValues" dxfId="381" priority="85"/>
    <cfRule type="duplicateValues" dxfId="380" priority="86"/>
    <cfRule type="duplicateValues" dxfId="379" priority="87"/>
    <cfRule type="duplicateValues" dxfId="378" priority="88"/>
  </conditionalFormatting>
  <conditionalFormatting sqref="D174">
    <cfRule type="duplicateValues" dxfId="377" priority="78"/>
    <cfRule type="duplicateValues" dxfId="376" priority="80"/>
    <cfRule type="duplicateValues" dxfId="375" priority="82"/>
    <cfRule type="duplicateValues" dxfId="374" priority="84"/>
  </conditionalFormatting>
  <conditionalFormatting sqref="D177">
    <cfRule type="duplicateValues" dxfId="373" priority="77"/>
    <cfRule type="duplicateValues" dxfId="372" priority="79"/>
    <cfRule type="duplicateValues" dxfId="371" priority="81"/>
    <cfRule type="duplicateValues" dxfId="370" priority="83"/>
  </conditionalFormatting>
  <conditionalFormatting sqref="D192">
    <cfRule type="duplicateValues" dxfId="369" priority="73"/>
    <cfRule type="duplicateValues" dxfId="368" priority="74"/>
    <cfRule type="duplicateValues" dxfId="367" priority="75"/>
    <cfRule type="duplicateValues" dxfId="366" priority="76"/>
  </conditionalFormatting>
  <conditionalFormatting sqref="D201">
    <cfRule type="duplicateValues" dxfId="365" priority="66"/>
    <cfRule type="duplicateValues" dxfId="364" priority="68"/>
    <cfRule type="duplicateValues" dxfId="363" priority="70"/>
    <cfRule type="duplicateValues" dxfId="362" priority="72"/>
  </conditionalFormatting>
  <conditionalFormatting sqref="D204">
    <cfRule type="duplicateValues" dxfId="361" priority="65"/>
    <cfRule type="duplicateValues" dxfId="360" priority="67"/>
    <cfRule type="duplicateValues" dxfId="359" priority="69"/>
    <cfRule type="duplicateValues" dxfId="358" priority="71"/>
  </conditionalFormatting>
  <conditionalFormatting sqref="D219">
    <cfRule type="duplicateValues" dxfId="357" priority="61"/>
    <cfRule type="duplicateValues" dxfId="356" priority="62"/>
    <cfRule type="duplicateValues" dxfId="355" priority="63"/>
    <cfRule type="duplicateValues" dxfId="354" priority="64"/>
  </conditionalFormatting>
  <conditionalFormatting sqref="D228">
    <cfRule type="duplicateValues" dxfId="353" priority="54"/>
    <cfRule type="duplicateValues" dxfId="352" priority="56"/>
    <cfRule type="duplicateValues" dxfId="351" priority="58"/>
    <cfRule type="duplicateValues" dxfId="350" priority="60"/>
  </conditionalFormatting>
  <conditionalFormatting sqref="D231">
    <cfRule type="duplicateValues" dxfId="349" priority="53"/>
    <cfRule type="duplicateValues" dxfId="348" priority="55"/>
    <cfRule type="duplicateValues" dxfId="347" priority="57"/>
    <cfRule type="duplicateValues" dxfId="346" priority="59"/>
  </conditionalFormatting>
  <conditionalFormatting sqref="D246">
    <cfRule type="duplicateValues" dxfId="345" priority="49"/>
    <cfRule type="duplicateValues" dxfId="344" priority="50"/>
    <cfRule type="duplicateValues" dxfId="343" priority="51"/>
    <cfRule type="duplicateValues" dxfId="342" priority="52"/>
  </conditionalFormatting>
  <conditionalFormatting sqref="D255">
    <cfRule type="duplicateValues" dxfId="341" priority="42"/>
    <cfRule type="duplicateValues" dxfId="340" priority="44"/>
    <cfRule type="duplicateValues" dxfId="339" priority="46"/>
    <cfRule type="duplicateValues" dxfId="338" priority="48"/>
  </conditionalFormatting>
  <conditionalFormatting sqref="D258">
    <cfRule type="duplicateValues" dxfId="337" priority="41"/>
    <cfRule type="duplicateValues" dxfId="336" priority="43"/>
    <cfRule type="duplicateValues" dxfId="335" priority="45"/>
    <cfRule type="duplicateValues" dxfId="334" priority="47"/>
  </conditionalFormatting>
  <conditionalFormatting sqref="D273">
    <cfRule type="duplicateValues" dxfId="333" priority="37"/>
    <cfRule type="duplicateValues" dxfId="332" priority="38"/>
    <cfRule type="duplicateValues" dxfId="331" priority="39"/>
    <cfRule type="duplicateValues" dxfId="330" priority="40"/>
  </conditionalFormatting>
  <conditionalFormatting sqref="D282">
    <cfRule type="duplicateValues" dxfId="329" priority="30"/>
    <cfRule type="duplicateValues" dxfId="328" priority="32"/>
    <cfRule type="duplicateValues" dxfId="327" priority="34"/>
    <cfRule type="duplicateValues" dxfId="326" priority="36"/>
  </conditionalFormatting>
  <conditionalFormatting sqref="D285">
    <cfRule type="duplicateValues" dxfId="325" priority="29"/>
    <cfRule type="duplicateValues" dxfId="324" priority="31"/>
    <cfRule type="duplicateValues" dxfId="323" priority="33"/>
    <cfRule type="duplicateValues" dxfId="322" priority="35"/>
  </conditionalFormatting>
  <conditionalFormatting sqref="D300">
    <cfRule type="duplicateValues" dxfId="321" priority="25"/>
    <cfRule type="duplicateValues" dxfId="320" priority="26"/>
    <cfRule type="duplicateValues" dxfId="319" priority="27"/>
    <cfRule type="duplicateValues" dxfId="318" priority="28"/>
  </conditionalFormatting>
  <conditionalFormatting sqref="D309">
    <cfRule type="duplicateValues" dxfId="317" priority="18"/>
    <cfRule type="duplicateValues" dxfId="316" priority="20"/>
    <cfRule type="duplicateValues" dxfId="315" priority="22"/>
    <cfRule type="duplicateValues" dxfId="314" priority="24"/>
  </conditionalFormatting>
  <conditionalFormatting sqref="D312">
    <cfRule type="duplicateValues" dxfId="313" priority="17"/>
    <cfRule type="duplicateValues" dxfId="312" priority="19"/>
    <cfRule type="duplicateValues" dxfId="311" priority="21"/>
    <cfRule type="duplicateValues" dxfId="310" priority="23"/>
  </conditionalFormatting>
  <conditionalFormatting sqref="D327">
    <cfRule type="duplicateValues" dxfId="309" priority="13"/>
    <cfRule type="duplicateValues" dxfId="308" priority="14"/>
    <cfRule type="duplicateValues" dxfId="307" priority="15"/>
    <cfRule type="duplicateValues" dxfId="306" priority="16"/>
  </conditionalFormatting>
  <conditionalFormatting sqref="D335">
    <cfRule type="duplicateValues" dxfId="305" priority="314"/>
    <cfRule type="duplicateValues" dxfId="304" priority="316"/>
    <cfRule type="duplicateValues" dxfId="303" priority="318"/>
    <cfRule type="duplicateValues" dxfId="302" priority="320"/>
  </conditionalFormatting>
  <conditionalFormatting sqref="D338">
    <cfRule type="duplicateValues" dxfId="301" priority="313"/>
    <cfRule type="duplicateValues" dxfId="300" priority="315"/>
    <cfRule type="duplicateValues" dxfId="299" priority="317"/>
    <cfRule type="duplicateValues" dxfId="298" priority="319"/>
  </conditionalFormatting>
  <conditionalFormatting sqref="D353">
    <cfRule type="duplicateValues" dxfId="297" priority="309"/>
    <cfRule type="duplicateValues" dxfId="296" priority="310"/>
    <cfRule type="duplicateValues" dxfId="295" priority="311"/>
    <cfRule type="duplicateValues" dxfId="294" priority="312"/>
  </conditionalFormatting>
  <conditionalFormatting sqref="D362">
    <cfRule type="duplicateValues" dxfId="293" priority="6"/>
    <cfRule type="duplicateValues" dxfId="292" priority="8"/>
    <cfRule type="duplicateValues" dxfId="291" priority="10"/>
    <cfRule type="duplicateValues" dxfId="290" priority="12"/>
  </conditionalFormatting>
  <conditionalFormatting sqref="D365">
    <cfRule type="duplicateValues" dxfId="289" priority="5"/>
    <cfRule type="duplicateValues" dxfId="288" priority="7"/>
    <cfRule type="duplicateValues" dxfId="287" priority="9"/>
    <cfRule type="duplicateValues" dxfId="286" priority="11"/>
  </conditionalFormatting>
  <conditionalFormatting sqref="D380">
    <cfRule type="duplicateValues" dxfId="285" priority="1"/>
    <cfRule type="duplicateValues" dxfId="284" priority="2"/>
    <cfRule type="duplicateValues" dxfId="283" priority="3"/>
    <cfRule type="duplicateValues" dxfId="282" priority="4"/>
  </conditionalFormatting>
  <conditionalFormatting sqref="D387">
    <cfRule type="duplicateValues" dxfId="281" priority="322"/>
    <cfRule type="duplicateValues" dxfId="280" priority="324"/>
    <cfRule type="duplicateValues" dxfId="279" priority="326"/>
    <cfRule type="duplicateValues" dxfId="278" priority="328"/>
  </conditionalFormatting>
  <conditionalFormatting sqref="D388">
    <cfRule type="duplicateValues" dxfId="277" priority="305"/>
    <cfRule type="duplicateValues" dxfId="276" priority="306"/>
    <cfRule type="duplicateValues" dxfId="275" priority="307"/>
    <cfRule type="duplicateValues" dxfId="274" priority="308"/>
  </conditionalFormatting>
  <conditionalFormatting sqref="D391">
    <cfRule type="duplicateValues" dxfId="273" priority="321"/>
    <cfRule type="duplicateValues" dxfId="272" priority="323"/>
    <cfRule type="duplicateValues" dxfId="271" priority="325"/>
    <cfRule type="duplicateValues" dxfId="270" priority="327"/>
  </conditionalFormatting>
  <conditionalFormatting sqref="D406">
    <cfRule type="duplicateValues" dxfId="269" priority="293"/>
    <cfRule type="duplicateValues" dxfId="268" priority="294"/>
    <cfRule type="duplicateValues" dxfId="267" priority="299"/>
    <cfRule type="duplicateValues" dxfId="266" priority="300"/>
  </conditionalFormatting>
  <conditionalFormatting sqref="D414">
    <cfRule type="duplicateValues" dxfId="265" priority="296"/>
    <cfRule type="duplicateValues" dxfId="264" priority="298"/>
    <cfRule type="duplicateValues" dxfId="263" priority="302"/>
    <cfRule type="duplicateValues" dxfId="262" priority="304"/>
  </conditionalFormatting>
  <conditionalFormatting sqref="D415">
    <cfRule type="duplicateValues" dxfId="261" priority="289"/>
    <cfRule type="duplicateValues" dxfId="260" priority="290"/>
    <cfRule type="duplicateValues" dxfId="259" priority="291"/>
    <cfRule type="duplicateValues" dxfId="258" priority="292"/>
  </conditionalFormatting>
  <conditionalFormatting sqref="D418">
    <cfRule type="duplicateValues" dxfId="257" priority="295"/>
    <cfRule type="duplicateValues" dxfId="256" priority="297"/>
    <cfRule type="duplicateValues" dxfId="255" priority="301"/>
    <cfRule type="duplicateValues" dxfId="254" priority="303"/>
  </conditionalFormatting>
  <conditionalFormatting sqref="D433">
    <cfRule type="duplicateValues" dxfId="253" priority="277"/>
    <cfRule type="duplicateValues" dxfId="252" priority="278"/>
    <cfRule type="duplicateValues" dxfId="251" priority="283"/>
    <cfRule type="duplicateValues" dxfId="250" priority="284"/>
  </conditionalFormatting>
  <conditionalFormatting sqref="D441">
    <cfRule type="duplicateValues" dxfId="249" priority="280"/>
    <cfRule type="duplicateValues" dxfId="248" priority="282"/>
    <cfRule type="duplicateValues" dxfId="247" priority="286"/>
    <cfRule type="duplicateValues" dxfId="246" priority="288"/>
  </conditionalFormatting>
  <conditionalFormatting sqref="D442">
    <cfRule type="duplicateValues" dxfId="245" priority="273"/>
    <cfRule type="duplicateValues" dxfId="244" priority="274"/>
    <cfRule type="duplicateValues" dxfId="243" priority="275"/>
    <cfRule type="duplicateValues" dxfId="242" priority="276"/>
  </conditionalFormatting>
  <conditionalFormatting sqref="D445">
    <cfRule type="duplicateValues" dxfId="241" priority="279"/>
    <cfRule type="duplicateValues" dxfId="240" priority="281"/>
    <cfRule type="duplicateValues" dxfId="239" priority="285"/>
    <cfRule type="duplicateValues" dxfId="238" priority="287"/>
  </conditionalFormatting>
  <conditionalFormatting sqref="D460">
    <cfRule type="duplicateValues" dxfId="237" priority="261"/>
    <cfRule type="duplicateValues" dxfId="236" priority="262"/>
    <cfRule type="duplicateValues" dxfId="235" priority="267"/>
    <cfRule type="duplicateValues" dxfId="234" priority="268"/>
  </conditionalFormatting>
  <conditionalFormatting sqref="D468">
    <cfRule type="duplicateValues" dxfId="233" priority="264"/>
    <cfRule type="duplicateValues" dxfId="232" priority="266"/>
    <cfRule type="duplicateValues" dxfId="231" priority="270"/>
    <cfRule type="duplicateValues" dxfId="230" priority="272"/>
  </conditionalFormatting>
  <conditionalFormatting sqref="D469">
    <cfRule type="duplicateValues" dxfId="229" priority="257"/>
    <cfRule type="duplicateValues" dxfId="228" priority="258"/>
    <cfRule type="duplicateValues" dxfId="227" priority="259"/>
    <cfRule type="duplicateValues" dxfId="226" priority="260"/>
  </conditionalFormatting>
  <conditionalFormatting sqref="D472">
    <cfRule type="duplicateValues" dxfId="225" priority="263"/>
    <cfRule type="duplicateValues" dxfId="224" priority="265"/>
    <cfRule type="duplicateValues" dxfId="223" priority="269"/>
    <cfRule type="duplicateValues" dxfId="222" priority="271"/>
  </conditionalFormatting>
  <conditionalFormatting sqref="D487">
    <cfRule type="duplicateValues" dxfId="221" priority="245"/>
    <cfRule type="duplicateValues" dxfId="220" priority="246"/>
    <cfRule type="duplicateValues" dxfId="219" priority="251"/>
    <cfRule type="duplicateValues" dxfId="218" priority="252"/>
  </conditionalFormatting>
  <conditionalFormatting sqref="D495">
    <cfRule type="duplicateValues" dxfId="217" priority="248"/>
    <cfRule type="duplicateValues" dxfId="216" priority="250"/>
    <cfRule type="duplicateValues" dxfId="215" priority="254"/>
    <cfRule type="duplicateValues" dxfId="214" priority="256"/>
  </conditionalFormatting>
  <conditionalFormatting sqref="D496">
    <cfRule type="duplicateValues" dxfId="213" priority="241"/>
    <cfRule type="duplicateValues" dxfId="212" priority="242"/>
    <cfRule type="duplicateValues" dxfId="211" priority="243"/>
    <cfRule type="duplicateValues" dxfId="210" priority="244"/>
  </conditionalFormatting>
  <conditionalFormatting sqref="D499">
    <cfRule type="duplicateValues" dxfId="209" priority="247"/>
    <cfRule type="duplicateValues" dxfId="208" priority="249"/>
    <cfRule type="duplicateValues" dxfId="207" priority="253"/>
    <cfRule type="duplicateValues" dxfId="206" priority="255"/>
  </conditionalFormatting>
  <conditionalFormatting sqref="D514">
    <cfRule type="duplicateValues" dxfId="205" priority="229"/>
    <cfRule type="duplicateValues" dxfId="204" priority="230"/>
    <cfRule type="duplicateValues" dxfId="203" priority="235"/>
    <cfRule type="duplicateValues" dxfId="202" priority="236"/>
  </conditionalFormatting>
  <conditionalFormatting sqref="D522">
    <cfRule type="duplicateValues" dxfId="201" priority="232"/>
    <cfRule type="duplicateValues" dxfId="200" priority="234"/>
    <cfRule type="duplicateValues" dxfId="199" priority="238"/>
    <cfRule type="duplicateValues" dxfId="198" priority="240"/>
  </conditionalFormatting>
  <conditionalFormatting sqref="D523">
    <cfRule type="duplicateValues" dxfId="197" priority="225"/>
    <cfRule type="duplicateValues" dxfId="196" priority="226"/>
    <cfRule type="duplicateValues" dxfId="195" priority="227"/>
    <cfRule type="duplicateValues" dxfId="194" priority="228"/>
  </conditionalFormatting>
  <conditionalFormatting sqref="D526">
    <cfRule type="duplicateValues" dxfId="193" priority="231"/>
    <cfRule type="duplicateValues" dxfId="192" priority="233"/>
    <cfRule type="duplicateValues" dxfId="191" priority="237"/>
    <cfRule type="duplicateValues" dxfId="190" priority="239"/>
  </conditionalFormatting>
  <conditionalFormatting sqref="D541">
    <cfRule type="duplicateValues" dxfId="189" priority="213"/>
    <cfRule type="duplicateValues" dxfId="188" priority="214"/>
    <cfRule type="duplicateValues" dxfId="187" priority="219"/>
    <cfRule type="duplicateValues" dxfId="186" priority="220"/>
  </conditionalFormatting>
  <conditionalFormatting sqref="D549">
    <cfRule type="duplicateValues" dxfId="185" priority="216"/>
    <cfRule type="duplicateValues" dxfId="184" priority="218"/>
    <cfRule type="duplicateValues" dxfId="183" priority="222"/>
    <cfRule type="duplicateValues" dxfId="182" priority="224"/>
  </conditionalFormatting>
  <conditionalFormatting sqref="D550">
    <cfRule type="duplicateValues" dxfId="181" priority="209"/>
    <cfRule type="duplicateValues" dxfId="180" priority="210"/>
    <cfRule type="duplicateValues" dxfId="179" priority="211"/>
    <cfRule type="duplicateValues" dxfId="178" priority="212"/>
  </conditionalFormatting>
  <conditionalFormatting sqref="D553">
    <cfRule type="duplicateValues" dxfId="177" priority="215"/>
    <cfRule type="duplicateValues" dxfId="176" priority="217"/>
    <cfRule type="duplicateValues" dxfId="175" priority="221"/>
    <cfRule type="duplicateValues" dxfId="174" priority="223"/>
  </conditionalFormatting>
  <conditionalFormatting sqref="D568">
    <cfRule type="duplicateValues" dxfId="173" priority="197"/>
    <cfRule type="duplicateValues" dxfId="172" priority="198"/>
    <cfRule type="duplicateValues" dxfId="171" priority="203"/>
    <cfRule type="duplicateValues" dxfId="170" priority="204"/>
  </conditionalFormatting>
  <conditionalFormatting sqref="D576">
    <cfRule type="duplicateValues" dxfId="169" priority="200"/>
    <cfRule type="duplicateValues" dxfId="168" priority="202"/>
    <cfRule type="duplicateValues" dxfId="167" priority="206"/>
    <cfRule type="duplicateValues" dxfId="166" priority="208"/>
  </conditionalFormatting>
  <conditionalFormatting sqref="D577">
    <cfRule type="duplicateValues" dxfId="165" priority="193"/>
    <cfRule type="duplicateValues" dxfId="164" priority="194"/>
    <cfRule type="duplicateValues" dxfId="163" priority="195"/>
    <cfRule type="duplicateValues" dxfId="162" priority="196"/>
  </conditionalFormatting>
  <conditionalFormatting sqref="D580">
    <cfRule type="duplicateValues" dxfId="161" priority="199"/>
    <cfRule type="duplicateValues" dxfId="160" priority="201"/>
    <cfRule type="duplicateValues" dxfId="159" priority="205"/>
    <cfRule type="duplicateValues" dxfId="158" priority="207"/>
  </conditionalFormatting>
  <conditionalFormatting sqref="D588">
    <cfRule type="duplicateValues" dxfId="157" priority="341"/>
    <cfRule type="duplicateValues" dxfId="156" priority="342"/>
    <cfRule type="duplicateValues" dxfId="155" priority="347"/>
    <cfRule type="duplicateValues" dxfId="154" priority="348"/>
  </conditionalFormatting>
  <conditionalFormatting sqref="D596">
    <cfRule type="duplicateValues" dxfId="153" priority="344"/>
    <cfRule type="duplicateValues" dxfId="152" priority="346"/>
    <cfRule type="duplicateValues" dxfId="151" priority="350"/>
    <cfRule type="duplicateValues" dxfId="150" priority="352"/>
  </conditionalFormatting>
  <conditionalFormatting sqref="D599">
    <cfRule type="duplicateValues" dxfId="149" priority="343"/>
    <cfRule type="duplicateValues" dxfId="148" priority="345"/>
    <cfRule type="duplicateValues" dxfId="147" priority="349"/>
    <cfRule type="duplicateValues" dxfId="146" priority="351"/>
  </conditionalFormatting>
  <conditionalFormatting sqref="D615">
    <cfRule type="duplicateValues" dxfId="145" priority="181"/>
    <cfRule type="duplicateValues" dxfId="144" priority="182"/>
    <cfRule type="duplicateValues" dxfId="143" priority="187"/>
    <cfRule type="duplicateValues" dxfId="142" priority="188"/>
  </conditionalFormatting>
  <conditionalFormatting sqref="D623">
    <cfRule type="duplicateValues" dxfId="141" priority="184"/>
    <cfRule type="duplicateValues" dxfId="140" priority="186"/>
    <cfRule type="duplicateValues" dxfId="139" priority="190"/>
    <cfRule type="duplicateValues" dxfId="138" priority="192"/>
  </conditionalFormatting>
  <conditionalFormatting sqref="D626">
    <cfRule type="duplicateValues" dxfId="137" priority="183"/>
    <cfRule type="duplicateValues" dxfId="136" priority="185"/>
    <cfRule type="duplicateValues" dxfId="135" priority="189"/>
    <cfRule type="duplicateValues" dxfId="134" priority="191"/>
  </conditionalFormatting>
  <conditionalFormatting sqref="D642">
    <cfRule type="duplicateValues" dxfId="133" priority="169"/>
    <cfRule type="duplicateValues" dxfId="132" priority="170"/>
    <cfRule type="duplicateValues" dxfId="131" priority="175"/>
    <cfRule type="duplicateValues" dxfId="130" priority="176"/>
  </conditionalFormatting>
  <conditionalFormatting sqref="D650">
    <cfRule type="duplicateValues" dxfId="129" priority="172"/>
    <cfRule type="duplicateValues" dxfId="128" priority="174"/>
    <cfRule type="duplicateValues" dxfId="127" priority="178"/>
    <cfRule type="duplicateValues" dxfId="126" priority="180"/>
  </conditionalFormatting>
  <conditionalFormatting sqref="D653">
    <cfRule type="duplicateValues" dxfId="125" priority="171"/>
    <cfRule type="duplicateValues" dxfId="124" priority="173"/>
    <cfRule type="duplicateValues" dxfId="123" priority="177"/>
    <cfRule type="duplicateValues" dxfId="122" priority="179"/>
  </conditionalFormatting>
  <conditionalFormatting sqref="D674">
    <cfRule type="duplicateValues" dxfId="121" priority="334"/>
    <cfRule type="duplicateValues" dxfId="120" priority="336"/>
    <cfRule type="duplicateValues" dxfId="119" priority="338"/>
    <cfRule type="duplicateValues" dxfId="118" priority="340"/>
  </conditionalFormatting>
  <conditionalFormatting sqref="D677">
    <cfRule type="duplicateValues" dxfId="117" priority="333"/>
    <cfRule type="duplicateValues" dxfId="116" priority="335"/>
    <cfRule type="duplicateValues" dxfId="115" priority="337"/>
    <cfRule type="duplicateValues" dxfId="114" priority="339"/>
  </conditionalFormatting>
  <conditionalFormatting sqref="D692">
    <cfRule type="duplicateValues" dxfId="113" priority="329"/>
    <cfRule type="duplicateValues" dxfId="112" priority="330"/>
    <cfRule type="duplicateValues" dxfId="111" priority="331"/>
    <cfRule type="duplicateValues" dxfId="110" priority="332"/>
  </conditionalFormatting>
  <conditionalFormatting sqref="D701">
    <cfRule type="duplicateValues" dxfId="109" priority="162"/>
    <cfRule type="duplicateValues" dxfId="108" priority="164"/>
    <cfRule type="duplicateValues" dxfId="107" priority="166"/>
    <cfRule type="duplicateValues" dxfId="106" priority="168"/>
  </conditionalFormatting>
  <conditionalFormatting sqref="D704">
    <cfRule type="duplicateValues" dxfId="105" priority="161"/>
    <cfRule type="duplicateValues" dxfId="104" priority="163"/>
    <cfRule type="duplicateValues" dxfId="103" priority="165"/>
    <cfRule type="duplicateValues" dxfId="102" priority="167"/>
  </conditionalFormatting>
  <conditionalFormatting sqref="D719">
    <cfRule type="duplicateValues" dxfId="101" priority="157"/>
    <cfRule type="duplicateValues" dxfId="100" priority="158"/>
    <cfRule type="duplicateValues" dxfId="99" priority="159"/>
    <cfRule type="duplicateValues" dxfId="98" priority="160"/>
  </conditionalFormatting>
  <conditionalFormatting sqref="D726">
    <cfRule type="duplicateValues" dxfId="97" priority="390"/>
    <cfRule type="duplicateValues" dxfId="96" priority="392"/>
    <cfRule type="duplicateValues" dxfId="95" priority="394"/>
    <cfRule type="duplicateValues" dxfId="94" priority="396"/>
  </conditionalFormatting>
  <conditionalFormatting sqref="D729">
    <cfRule type="duplicateValues" dxfId="93" priority="389"/>
    <cfRule type="duplicateValues" dxfId="92" priority="391"/>
    <cfRule type="duplicateValues" dxfId="91" priority="393"/>
    <cfRule type="duplicateValues" dxfId="90" priority="395"/>
  </conditionalFormatting>
  <conditionalFormatting sqref="D744">
    <cfRule type="duplicateValues" dxfId="89" priority="377"/>
    <cfRule type="duplicateValues" dxfId="88" priority="378"/>
    <cfRule type="duplicateValues" dxfId="87" priority="383"/>
    <cfRule type="duplicateValues" dxfId="86" priority="384"/>
  </conditionalFormatting>
  <conditionalFormatting sqref="D752">
    <cfRule type="duplicateValues" dxfId="85" priority="380"/>
    <cfRule type="duplicateValues" dxfId="84" priority="382"/>
    <cfRule type="duplicateValues" dxfId="83" priority="386"/>
    <cfRule type="duplicateValues" dxfId="82" priority="388"/>
  </conditionalFormatting>
  <conditionalFormatting sqref="D755">
    <cfRule type="duplicateValues" dxfId="81" priority="379"/>
    <cfRule type="duplicateValues" dxfId="80" priority="381"/>
    <cfRule type="duplicateValues" dxfId="79" priority="385"/>
    <cfRule type="duplicateValues" dxfId="78" priority="387"/>
  </conditionalFormatting>
  <conditionalFormatting sqref="D770">
    <cfRule type="duplicateValues" dxfId="77" priority="365"/>
    <cfRule type="duplicateValues" dxfId="76" priority="366"/>
    <cfRule type="duplicateValues" dxfId="75" priority="371"/>
    <cfRule type="duplicateValues" dxfId="74" priority="372"/>
  </conditionalFormatting>
  <conditionalFormatting sqref="D778">
    <cfRule type="duplicateValues" dxfId="73" priority="368"/>
    <cfRule type="duplicateValues" dxfId="72" priority="370"/>
    <cfRule type="duplicateValues" dxfId="71" priority="374"/>
    <cfRule type="duplicateValues" dxfId="70" priority="376"/>
  </conditionalFormatting>
  <conditionalFormatting sqref="D781">
    <cfRule type="duplicateValues" dxfId="69" priority="367"/>
    <cfRule type="duplicateValues" dxfId="68" priority="369"/>
    <cfRule type="duplicateValues" dxfId="67" priority="373"/>
    <cfRule type="duplicateValues" dxfId="66" priority="375"/>
  </conditionalFormatting>
  <conditionalFormatting sqref="D796">
    <cfRule type="duplicateValues" dxfId="65" priority="433"/>
    <cfRule type="duplicateValues" dxfId="64" priority="434"/>
    <cfRule type="duplicateValues" dxfId="63" priority="439"/>
    <cfRule type="duplicateValues" dxfId="62" priority="440"/>
  </conditionalFormatting>
  <conditionalFormatting sqref="D804">
    <cfRule type="duplicateValues" dxfId="61" priority="436"/>
    <cfRule type="duplicateValues" dxfId="60" priority="438"/>
    <cfRule type="duplicateValues" dxfId="59" priority="442"/>
    <cfRule type="duplicateValues" dxfId="58" priority="444"/>
  </conditionalFormatting>
  <conditionalFormatting sqref="D807">
    <cfRule type="duplicateValues" dxfId="57" priority="435"/>
    <cfRule type="duplicateValues" dxfId="56" priority="437"/>
    <cfRule type="duplicateValues" dxfId="55" priority="441"/>
    <cfRule type="duplicateValues" dxfId="54" priority="443"/>
  </conditionalFormatting>
  <conditionalFormatting sqref="D822">
    <cfRule type="duplicateValues" dxfId="53" priority="353"/>
    <cfRule type="duplicateValues" dxfId="52" priority="354"/>
    <cfRule type="duplicateValues" dxfId="51" priority="359"/>
    <cfRule type="duplicateValues" dxfId="50" priority="360"/>
  </conditionalFormatting>
  <conditionalFormatting sqref="D830">
    <cfRule type="duplicateValues" dxfId="49" priority="356"/>
    <cfRule type="duplicateValues" dxfId="48" priority="358"/>
    <cfRule type="duplicateValues" dxfId="47" priority="362"/>
    <cfRule type="duplicateValues" dxfId="46" priority="364"/>
  </conditionalFormatting>
  <conditionalFormatting sqref="D833">
    <cfRule type="duplicateValues" dxfId="45" priority="355"/>
    <cfRule type="duplicateValues" dxfId="44" priority="357"/>
    <cfRule type="duplicateValues" dxfId="43" priority="361"/>
    <cfRule type="duplicateValues" dxfId="42" priority="363"/>
  </conditionalFormatting>
  <conditionalFormatting sqref="D848">
    <cfRule type="duplicateValues" dxfId="41" priority="421"/>
    <cfRule type="duplicateValues" dxfId="40" priority="422"/>
    <cfRule type="duplicateValues" dxfId="39" priority="427"/>
    <cfRule type="duplicateValues" dxfId="38" priority="428"/>
  </conditionalFormatting>
  <conditionalFormatting sqref="D856">
    <cfRule type="duplicateValues" dxfId="37" priority="424"/>
    <cfRule type="duplicateValues" dxfId="36" priority="426"/>
    <cfRule type="duplicateValues" dxfId="35" priority="430"/>
    <cfRule type="duplicateValues" dxfId="34" priority="432"/>
  </conditionalFormatting>
  <conditionalFormatting sqref="D859">
    <cfRule type="duplicateValues" dxfId="33" priority="423"/>
    <cfRule type="duplicateValues" dxfId="32" priority="425"/>
    <cfRule type="duplicateValues" dxfId="31" priority="429"/>
    <cfRule type="duplicateValues" dxfId="30" priority="431"/>
  </conditionalFormatting>
  <conditionalFormatting sqref="D875">
    <cfRule type="duplicateValues" dxfId="29" priority="409"/>
    <cfRule type="duplicateValues" dxfId="28" priority="410"/>
    <cfRule type="duplicateValues" dxfId="27" priority="415"/>
    <cfRule type="duplicateValues" dxfId="26" priority="416"/>
  </conditionalFormatting>
  <conditionalFormatting sqref="D883">
    <cfRule type="duplicateValues" dxfId="25" priority="412"/>
    <cfRule type="duplicateValues" dxfId="24" priority="414"/>
    <cfRule type="duplicateValues" dxfId="23" priority="418"/>
    <cfRule type="duplicateValues" dxfId="22" priority="420"/>
  </conditionalFormatting>
  <conditionalFormatting sqref="D886">
    <cfRule type="duplicateValues" dxfId="21" priority="411"/>
    <cfRule type="duplicateValues" dxfId="20" priority="413"/>
    <cfRule type="duplicateValues" dxfId="19" priority="417"/>
    <cfRule type="duplicateValues" dxfId="18" priority="419"/>
  </conditionalFormatting>
  <conditionalFormatting sqref="D902">
    <cfRule type="duplicateValues" dxfId="17" priority="397"/>
    <cfRule type="duplicateValues" dxfId="16" priority="398"/>
    <cfRule type="duplicateValues" dxfId="15" priority="403"/>
    <cfRule type="duplicateValues" dxfId="14" priority="404"/>
  </conditionalFormatting>
  <conditionalFormatting sqref="D910">
    <cfRule type="duplicateValues" dxfId="13" priority="400"/>
    <cfRule type="duplicateValues" dxfId="12" priority="402"/>
    <cfRule type="duplicateValues" dxfId="11" priority="406"/>
    <cfRule type="duplicateValues" dxfId="10" priority="408"/>
  </conditionalFormatting>
  <conditionalFormatting sqref="D913">
    <cfRule type="duplicateValues" dxfId="9" priority="399"/>
    <cfRule type="duplicateValues" dxfId="8" priority="401"/>
    <cfRule type="duplicateValues" dxfId="7" priority="405"/>
    <cfRule type="duplicateValues" dxfId="6" priority="407"/>
  </conditionalFormatting>
  <conditionalFormatting sqref="D929">
    <cfRule type="duplicateValues" dxfId="5" priority="450"/>
  </conditionalFormatting>
  <conditionalFormatting sqref="D929:D947">
    <cfRule type="duplicateValues" dxfId="4" priority="447"/>
  </conditionalFormatting>
  <conditionalFormatting sqref="D937">
    <cfRule type="duplicateValues" dxfId="3" priority="446"/>
    <cfRule type="duplicateValues" dxfId="2" priority="449"/>
  </conditionalFormatting>
  <conditionalFormatting sqref="D940">
    <cfRule type="duplicateValues" dxfId="1" priority="445"/>
    <cfRule type="duplicateValues" dxfId="0" priority="448"/>
  </conditionalFormatting>
  <printOptions horizontalCentered="1"/>
  <pageMargins left="0.15748031496062992" right="0.15748031496062992" top="0.31496062992125984" bottom="3.937007874015748E-2" header="0.27559055118110237" footer="0.19685039370078741"/>
  <pageSetup paperSize="9" scale="20" orientation="landscape" horizontalDpi="4294967293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SEWING</vt:lpstr>
      <vt:lpstr>FINISHING</vt:lpstr>
      <vt:lpstr>FINISHING!Print_Area</vt:lpstr>
      <vt:lpstr>SEWING!Print_Area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kyol yong</dc:creator>
  <cp:lastModifiedBy>son kyol yong</cp:lastModifiedBy>
  <dcterms:created xsi:type="dcterms:W3CDTF">2026-05-20T00:59:28Z</dcterms:created>
  <dcterms:modified xsi:type="dcterms:W3CDTF">2026-05-20T01:01:07Z</dcterms:modified>
</cp:coreProperties>
</file>